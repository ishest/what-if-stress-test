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040" tabRatio="600" firstSheet="0" activeTab="5" autoFilterDateGrouping="1"/>
  </bookViews>
  <sheets>
    <sheet xmlns:r="http://schemas.openxmlformats.org/officeDocument/2006/relationships" name="🚦 Full Dashboard" sheetId="1" state="visible" r:id="rId1"/>
    <sheet xmlns:r="http://schemas.openxmlformats.org/officeDocument/2006/relationships" name="⚙️ Scenario Matrix" sheetId="2" state="visible" r:id="rId2"/>
    <sheet xmlns:r="http://schemas.openxmlformats.org/officeDocument/2006/relationships" name="📊 Multi-Scenario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Hist_Financials" sheetId="5" state="visible" r:id="rId5"/>
    <sheet xmlns:r="http://schemas.openxmlformats.org/officeDocument/2006/relationships" name="WhatIf_Sequences" sheetId="6" state="visible" r:id="rId6"/>
    <sheet xmlns:r="http://schemas.openxmlformats.org/officeDocument/2006/relationships" name="Scenario_Library" sheetId="7" state="visible" r:id="rId7"/>
    <sheet xmlns:r="http://schemas.openxmlformats.org/officeDocument/2006/relationships" name="Scenario_Setup" sheetId="8" state="visible" r:id="rId8"/>
    <sheet xmlns:r="http://schemas.openxmlformats.org/officeDocument/2006/relationships" name="Stress_Model" sheetId="9" state="visible" r:id="rId9"/>
    <sheet xmlns:r="http://schemas.openxmlformats.org/officeDocument/2006/relationships" name="Dashboard" sheetId="10" state="visible" r:id="rId10"/>
  </sheets>
  <definedNames/>
  <calcPr calcId="191029" fullCalcOnLoad="1" iterateDelta="0.0001" forceFullCalc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0.00\x"/>
    <numFmt numFmtId="167" formatCode="#,##0.0;(#,##0.0);-"/>
    <numFmt numFmtId="168" formatCode="0.0x"/>
    <numFmt numFmtId="169" formatCode="0.0"/>
    <numFmt numFmtId="170" formatCode="#,##0;(#,##0);-"/>
  </numFmts>
  <fonts count="3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B2A4A"/>
      <sz val="9"/>
    </font>
    <font>
      <name val="Arial"/>
      <color rgb="001C1C1C"/>
      <sz val="9"/>
    </font>
    <font>
      <name val="Arial"/>
      <i val="1"/>
      <color rgb="005D6D7E"/>
      <sz val="9"/>
    </font>
    <font>
      <name val="Arial"/>
      <b val="1"/>
      <color rgb="00FFFFFF"/>
      <sz val="12"/>
    </font>
    <font>
      <name val="Arial"/>
      <i val="1"/>
      <color rgb="005D6D7E"/>
      <sz val="8"/>
    </font>
    <font>
      <name val="Arial"/>
      <b val="1"/>
      <color rgb="00FFFFFF"/>
      <sz val="9"/>
    </font>
    <font>
      <name val="Arial"/>
      <b val="1"/>
      <color rgb="001C1C1C"/>
      <sz val="9"/>
    </font>
    <font>
      <name val="Arial"/>
      <color rgb="001C1C1C"/>
      <sz val="8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b val="1"/>
      <color rgb="001B2A4A"/>
      <sz val="8"/>
    </font>
    <font>
      <name val="Arial"/>
      <b val="1"/>
      <color rgb="001A5276"/>
      <sz val="9"/>
    </font>
    <font>
      <name val="Arial"/>
      <color rgb="005D6D7E"/>
      <sz val="9"/>
    </font>
    <font>
      <name val="Arial"/>
      <b val="1"/>
      <color rgb="001E7E34"/>
      <sz val="9"/>
    </font>
    <font>
      <name val="Arial"/>
      <color rgb="00D35400"/>
      <sz val="9"/>
    </font>
    <font>
      <name val="Arial"/>
      <b val="1"/>
      <color rgb="00D35400"/>
      <sz val="9"/>
    </font>
    <font>
      <name val="Arial"/>
      <i val="1"/>
      <color rgb="00FFFFFF"/>
      <sz val="10"/>
    </font>
    <font>
      <name val="Arial"/>
      <color rgb="001B2A4A"/>
      <sz val="9"/>
    </font>
    <font>
      <name val="Arial"/>
      <b val="1"/>
      <color rgb="001C1C1C"/>
      <sz val="10"/>
    </font>
    <font>
      <name val="Arial"/>
      <b val="1"/>
      <color rgb="001A5276"/>
      <sz val="8"/>
    </font>
    <font>
      <name val="Arial"/>
      <b val="1"/>
      <color rgb="001C1C1C"/>
      <sz val="8"/>
    </font>
    <font>
      <name val="Arial"/>
      <color rgb="001B2A4A"/>
      <sz val="8"/>
    </font>
    <font>
      <name val="Arial"/>
      <b val="1"/>
      <color rgb="00784212"/>
      <sz val="8"/>
    </font>
    <font>
      <name val="Arial"/>
      <b val="1"/>
      <color rgb="00C0392B"/>
      <sz val="8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1C1C1C"/>
      <sz val="12"/>
    </font>
    <font>
      <name val="Arial"/>
      <b val="1"/>
      <color rgb="00FFFFFF"/>
      <sz val="7"/>
    </font>
    <font>
      <name val="Arial"/>
      <i val="1"/>
      <color rgb="005D6D7E"/>
      <sz val="7"/>
    </font>
    <font>
      <name val="Arial"/>
      <i val="1"/>
      <color rgb="001B2A4A"/>
      <sz val="8"/>
    </font>
  </fonts>
  <fills count="2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EF3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001B2A4A"/>
      </patternFill>
    </fill>
    <fill>
      <patternFill patternType="solid">
        <fgColor rgb="00C9A84C"/>
      </patternFill>
    </fill>
    <fill>
      <patternFill patternType="solid">
        <fgColor rgb="00F2F4F7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FF9C4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5D6D7E"/>
      </patternFill>
    </fill>
    <fill>
      <patternFill patternType="solid">
        <fgColor rgb="001E7E34"/>
      </patternFill>
    </fill>
    <fill>
      <patternFill patternType="solid">
        <fgColor rgb="00D35400"/>
      </patternFill>
    </fill>
    <fill>
      <patternFill patternType="solid">
        <fgColor rgb="00C0392B"/>
      </patternFill>
    </fill>
    <fill>
      <patternFill patternType="solid">
        <fgColor rgb="00F39C12"/>
      </patternFill>
    </fill>
  </fills>
  <borders count="17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medium">
        <color rgb="001B2A4A"/>
      </left>
      <right style="medium">
        <color rgb="001B2A4A"/>
      </right>
      <top style="medium">
        <color rgb="001B2A4A"/>
      </top>
      <bottom style="medium">
        <color rgb="001B2A4A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>
      <left/>
      <right/>
      <top style="medium">
        <color rgb="001B2A4A"/>
      </top>
      <bottom/>
      <diagonal/>
    </border>
    <border>
      <left/>
      <right style="medium">
        <color rgb="001B2A4A"/>
      </right>
      <top style="medium">
        <color rgb="001B2A4A"/>
      </top>
      <bottom/>
      <diagonal/>
    </border>
    <border>
      <left/>
      <right style="medium">
        <color rgb="001B2A4A"/>
      </right>
      <top style="medium">
        <color rgb="001B2A4A"/>
      </top>
      <bottom style="medium">
        <color rgb="001B2A4A"/>
      </bottom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/>
      <top style="medium">
        <color rgb="001B2A4A"/>
      </top>
      <bottom style="medium">
        <color rgb="001B2A4A"/>
      </bottom>
      <diagonal/>
    </border>
    <border>
      <left style="thin">
        <color rgb="00D5D8DC"/>
      </left>
      <right style="thin">
        <color rgb="00D5D8DC"/>
      </right>
      <top style="medium">
        <color rgb="001B2A4A"/>
      </top>
      <bottom style="thin">
        <color rgb="00D5D8DC"/>
      </bottom>
    </border>
  </borders>
  <cellStyleXfs count="1">
    <xf numFmtId="0" fontId="0" fillId="0" borderId="0"/>
  </cellStyleXfs>
  <cellXfs count="233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165" fontId="3" fillId="6" borderId="1" applyAlignment="1" pivotButton="0" quotePrefix="0" xfId="0">
      <alignment horizontal="left" vertical="center"/>
    </xf>
    <xf numFmtId="1" fontId="3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5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left" vertical="center"/>
    </xf>
    <xf numFmtId="166" fontId="3" fillId="7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left" vertical="center"/>
    </xf>
    <xf numFmtId="1" fontId="3" fillId="7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left" vertical="center"/>
    </xf>
    <xf numFmtId="165" fontId="3" fillId="8" borderId="1" applyAlignment="1" pivotButton="0" quotePrefix="0" xfId="0">
      <alignment horizontal="left" vertical="center"/>
    </xf>
    <xf numFmtId="1" fontId="3" fillId="8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166" fontId="3" fillId="8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4" borderId="1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left" vertical="center" wrapText="1"/>
    </xf>
    <xf numFmtId="0" fontId="14" fillId="10" borderId="0" applyAlignment="1" pivotButton="0" quotePrefix="0" xfId="0">
      <alignment horizontal="center" vertical="center"/>
    </xf>
    <xf numFmtId="0" fontId="5" fillId="19" borderId="7" applyAlignment="1" pivotButton="0" quotePrefix="0" xfId="0">
      <alignment horizontal="center" vertical="center"/>
    </xf>
    <xf numFmtId="0" fontId="5" fillId="20" borderId="7" applyAlignment="1" pivotButton="0" quotePrefix="0" xfId="0">
      <alignment horizontal="center" vertical="center"/>
    </xf>
    <xf numFmtId="0" fontId="5" fillId="21" borderId="7" applyAlignment="1" pivotButton="0" quotePrefix="0" xfId="0">
      <alignment horizontal="center" vertical="center"/>
    </xf>
    <xf numFmtId="0" fontId="5" fillId="22" borderId="7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23" fillId="11" borderId="6" applyAlignment="1" pivotButton="0" quotePrefix="0" xfId="0">
      <alignment horizontal="left" vertical="center"/>
    </xf>
    <xf numFmtId="167" fontId="7" fillId="12" borderId="6" applyAlignment="1" pivotButton="0" quotePrefix="0" xfId="0">
      <alignment horizontal="right" vertical="center"/>
    </xf>
    <xf numFmtId="167" fontId="7" fillId="15" borderId="6" applyAlignment="1" pivotButton="0" quotePrefix="0" xfId="0">
      <alignment horizontal="right" vertical="center"/>
    </xf>
    <xf numFmtId="167" fontId="7" fillId="16" borderId="6" applyAlignment="1" pivotButton="0" quotePrefix="0" xfId="0">
      <alignment horizontal="right" vertical="center"/>
    </xf>
    <xf numFmtId="167" fontId="7" fillId="17" borderId="6" applyAlignment="1" pivotButton="0" quotePrefix="0" xfId="0">
      <alignment horizontal="right" vertical="center"/>
    </xf>
    <xf numFmtId="0" fontId="6" fillId="11" borderId="6" applyAlignment="1" pivotButton="0" quotePrefix="0" xfId="0">
      <alignment horizontal="left" vertical="center"/>
    </xf>
    <xf numFmtId="167" fontId="12" fillId="11" borderId="6" applyAlignment="1" pivotButton="0" quotePrefix="0" xfId="0">
      <alignment horizontal="right" vertical="center"/>
    </xf>
    <xf numFmtId="167" fontId="12" fillId="15" borderId="6" applyAlignment="1" pivotButton="0" quotePrefix="0" xfId="0">
      <alignment horizontal="right" vertical="center"/>
    </xf>
    <xf numFmtId="167" fontId="12" fillId="16" borderId="6" applyAlignment="1" pivotButton="0" quotePrefix="0" xfId="0">
      <alignment horizontal="right" vertical="center"/>
    </xf>
    <xf numFmtId="167" fontId="12" fillId="17" borderId="6" applyAlignment="1" pivotButton="0" quotePrefix="0" xfId="0">
      <alignment horizontal="right" vertical="center"/>
    </xf>
    <xf numFmtId="165" fontId="7" fillId="12" borderId="6" applyAlignment="1" pivotButton="0" quotePrefix="0" xfId="0">
      <alignment horizontal="right" vertical="center"/>
    </xf>
    <xf numFmtId="165" fontId="7" fillId="15" borderId="6" applyAlignment="1" pivotButton="0" quotePrefix="0" xfId="0">
      <alignment horizontal="right" vertical="center"/>
    </xf>
    <xf numFmtId="165" fontId="7" fillId="16" borderId="6" applyAlignment="1" pivotButton="0" quotePrefix="0" xfId="0">
      <alignment horizontal="right" vertical="center"/>
    </xf>
    <xf numFmtId="165" fontId="7" fillId="17" borderId="6" applyAlignment="1" pivotButton="0" quotePrefix="0" xfId="0">
      <alignment horizontal="right" vertical="center"/>
    </xf>
    <xf numFmtId="168" fontId="12" fillId="11" borderId="6" applyAlignment="1" pivotButton="0" quotePrefix="0" xfId="0">
      <alignment horizontal="right" vertical="center"/>
    </xf>
    <xf numFmtId="168" fontId="12" fillId="15" borderId="6" applyAlignment="1" pivotButton="0" quotePrefix="0" xfId="0">
      <alignment horizontal="right" vertical="center"/>
    </xf>
    <xf numFmtId="168" fontId="7" fillId="15" borderId="6" applyAlignment="1" pivotButton="0" quotePrefix="0" xfId="0">
      <alignment horizontal="right" vertical="center"/>
    </xf>
    <xf numFmtId="168" fontId="12" fillId="16" borderId="6" applyAlignment="1" pivotButton="0" quotePrefix="0" xfId="0">
      <alignment horizontal="right" vertical="center"/>
    </xf>
    <xf numFmtId="168" fontId="7" fillId="16" borderId="6" applyAlignment="1" pivotButton="0" quotePrefix="0" xfId="0">
      <alignment horizontal="right" vertical="center"/>
    </xf>
    <xf numFmtId="168" fontId="12" fillId="17" borderId="6" applyAlignment="1" pivotButton="0" quotePrefix="0" xfId="0">
      <alignment horizontal="right" vertical="center"/>
    </xf>
    <xf numFmtId="168" fontId="7" fillId="17" borderId="6" applyAlignment="1" pivotButton="0" quotePrefix="0" xfId="0">
      <alignment horizontal="right" vertical="center"/>
    </xf>
    <xf numFmtId="0" fontId="24" fillId="15" borderId="6" applyAlignment="1" pivotButton="0" quotePrefix="0" xfId="0">
      <alignment horizontal="center" vertical="center"/>
    </xf>
    <xf numFmtId="0" fontId="0" fillId="0" borderId="10" pivotButton="0" quotePrefix="0" xfId="0"/>
    <xf numFmtId="0" fontId="24" fillId="16" borderId="6" applyAlignment="1" pivotButton="0" quotePrefix="0" xfId="0">
      <alignment horizontal="center" vertical="center"/>
    </xf>
    <xf numFmtId="0" fontId="24" fillId="17" borderId="6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2" borderId="6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8" fillId="11" borderId="6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0" fontId="11" fillId="9" borderId="6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7" fillId="13" borderId="6" applyAlignment="1" pivotButton="0" quotePrefix="0" xfId="0">
      <alignment horizontal="left" vertical="center"/>
    </xf>
    <xf numFmtId="167" fontId="7" fillId="14" borderId="6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/>
    </xf>
    <xf numFmtId="164" fontId="12" fillId="11" borderId="6" applyAlignment="1" pivotButton="0" quotePrefix="0" xfId="0">
      <alignment horizontal="right" vertical="center"/>
    </xf>
    <xf numFmtId="0" fontId="12" fillId="11" borderId="6" applyAlignment="1" pivotButton="0" quotePrefix="0" xfId="0">
      <alignment horizontal="left" vertical="center"/>
    </xf>
    <xf numFmtId="164" fontId="7" fillId="11" borderId="6" applyAlignment="1" pivotButton="0" quotePrefix="0" xfId="0">
      <alignment horizontal="right" vertical="center"/>
    </xf>
    <xf numFmtId="165" fontId="12" fillId="11" borderId="6" applyAlignment="1" pivotButton="0" quotePrefix="0" xfId="0">
      <alignment horizontal="right" vertical="center"/>
    </xf>
    <xf numFmtId="0" fontId="0" fillId="0" borderId="6" pivotButton="0" quotePrefix="0" xfId="0"/>
    <xf numFmtId="169" fontId="12" fillId="11" borderId="6" applyAlignment="1" pivotButton="0" quotePrefix="0" xfId="0">
      <alignment horizontal="right" vertical="center"/>
    </xf>
    <xf numFmtId="0" fontId="10" fillId="11" borderId="1" applyAlignment="1" pivotButton="0" quotePrefix="0" xfId="0">
      <alignment horizontal="left" vertical="center" wrapText="1"/>
    </xf>
    <xf numFmtId="0" fontId="11" fillId="10" borderId="6" applyAlignment="1" pivotButton="0" quotePrefix="0" xfId="0">
      <alignment horizontal="center" vertical="center" wrapText="1"/>
    </xf>
    <xf numFmtId="0" fontId="6" fillId="13" borderId="6" applyAlignment="1" pivotButton="0" quotePrefix="0" xfId="0">
      <alignment horizontal="left" vertical="center" wrapText="1"/>
    </xf>
    <xf numFmtId="0" fontId="13" fillId="12" borderId="6" applyAlignment="1" pivotButton="0" quotePrefix="0" xfId="0">
      <alignment horizontal="left" vertical="center" wrapText="1"/>
    </xf>
    <xf numFmtId="0" fontId="13" fillId="15" borderId="6" applyAlignment="1" pivotButton="0" quotePrefix="0" xfId="0">
      <alignment horizontal="left" vertical="center" wrapText="1"/>
    </xf>
    <xf numFmtId="0" fontId="13" fillId="16" borderId="6" applyAlignment="1" pivotButton="0" quotePrefix="0" xfId="0">
      <alignment horizontal="left" vertical="center" wrapText="1"/>
    </xf>
    <xf numFmtId="0" fontId="13" fillId="17" borderId="6" applyAlignment="1" pivotButton="0" quotePrefix="0" xfId="0">
      <alignment horizontal="left" vertical="center" wrapText="1"/>
    </xf>
    <xf numFmtId="0" fontId="13" fillId="11" borderId="6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/>
    </xf>
    <xf numFmtId="0" fontId="15" fillId="10" borderId="6" applyAlignment="1" pivotButton="0" quotePrefix="0" xfId="0">
      <alignment horizontal="center" vertical="center" wrapText="1"/>
    </xf>
    <xf numFmtId="0" fontId="16" fillId="15" borderId="6" applyAlignment="1" pivotButton="0" quotePrefix="0" xfId="0">
      <alignment horizontal="left" vertical="center"/>
    </xf>
    <xf numFmtId="165" fontId="13" fillId="15" borderId="6" applyAlignment="1" pivotButton="0" quotePrefix="0" xfId="0">
      <alignment horizontal="center" vertical="center"/>
    </xf>
    <xf numFmtId="1" fontId="13" fillId="15" borderId="6" applyAlignment="1" pivotButton="0" quotePrefix="0" xfId="0">
      <alignment horizontal="center" vertical="center"/>
    </xf>
    <xf numFmtId="0" fontId="16" fillId="16" borderId="6" applyAlignment="1" pivotButton="0" quotePrefix="0" xfId="0">
      <alignment horizontal="left" vertical="center"/>
    </xf>
    <xf numFmtId="165" fontId="13" fillId="16" borderId="6" applyAlignment="1" pivotButton="0" quotePrefix="0" xfId="0">
      <alignment horizontal="center" vertical="center"/>
    </xf>
    <xf numFmtId="1" fontId="13" fillId="16" borderId="6" applyAlignment="1" pivotButton="0" quotePrefix="0" xfId="0">
      <alignment horizontal="center" vertical="center"/>
    </xf>
    <xf numFmtId="0" fontId="16" fillId="17" borderId="6" applyAlignment="1" pivotButton="0" quotePrefix="0" xfId="0">
      <alignment horizontal="left" vertical="center"/>
    </xf>
    <xf numFmtId="165" fontId="13" fillId="17" borderId="6" applyAlignment="1" pivotButton="0" quotePrefix="0" xfId="0">
      <alignment horizontal="center" vertical="center"/>
    </xf>
    <xf numFmtId="1" fontId="13" fillId="17" borderId="6" applyAlignment="1" pivotButton="0" quotePrefix="0" xfId="0">
      <alignment horizontal="center" vertical="center"/>
    </xf>
    <xf numFmtId="0" fontId="17" fillId="13" borderId="6" applyAlignment="1" pivotButton="0" quotePrefix="0" xfId="0">
      <alignment horizontal="left" vertical="center"/>
    </xf>
    <xf numFmtId="0" fontId="11" fillId="10" borderId="6" applyAlignment="1" pivotButton="0" quotePrefix="0" xfId="0">
      <alignment horizontal="left" vertical="center"/>
    </xf>
    <xf numFmtId="0" fontId="17" fillId="16" borderId="6" applyAlignment="1" pivotButton="0" quotePrefix="0" xfId="0">
      <alignment horizontal="left" vertical="center"/>
    </xf>
    <xf numFmtId="0" fontId="7" fillId="16" borderId="6" applyAlignment="1" pivotButton="0" quotePrefix="0" xfId="0">
      <alignment horizontal="left" vertical="center"/>
    </xf>
    <xf numFmtId="165" fontId="17" fillId="14" borderId="6" applyAlignment="1" pivotButton="0" quotePrefix="0" xfId="0">
      <alignment horizontal="right" vertical="center"/>
    </xf>
    <xf numFmtId="0" fontId="10" fillId="5" borderId="6" applyAlignment="1" pivotButton="0" quotePrefix="0" xfId="0">
      <alignment horizontal="left" vertical="center"/>
    </xf>
    <xf numFmtId="167" fontId="17" fillId="14" borderId="6" applyAlignment="1" pivotButton="0" quotePrefix="0" xfId="0">
      <alignment horizontal="right" vertical="center"/>
    </xf>
    <xf numFmtId="168" fontId="17" fillId="14" borderId="6" applyAlignment="1" pivotButton="0" quotePrefix="0" xfId="0">
      <alignment horizontal="right" vertical="center"/>
    </xf>
    <xf numFmtId="0" fontId="11" fillId="10" borderId="6" applyAlignment="1" pivotButton="0" quotePrefix="0" xfId="0">
      <alignment horizontal="center" vertical="center"/>
    </xf>
    <xf numFmtId="0" fontId="12" fillId="13" borderId="6" applyAlignment="1" pivotButton="0" quotePrefix="0" xfId="0">
      <alignment horizontal="left" vertical="center"/>
    </xf>
    <xf numFmtId="0" fontId="10" fillId="11" borderId="6" applyAlignment="1" pivotButton="0" quotePrefix="0" xfId="0">
      <alignment horizontal="center" vertical="center"/>
    </xf>
    <xf numFmtId="165" fontId="18" fillId="11" borderId="6" applyAlignment="1" pivotButton="0" quotePrefix="0" xfId="0">
      <alignment horizontal="right" vertical="center"/>
    </xf>
    <xf numFmtId="165" fontId="19" fillId="11" borderId="6" applyAlignment="1" pivotButton="0" quotePrefix="0" xfId="0">
      <alignment horizontal="right" vertical="center"/>
    </xf>
    <xf numFmtId="1" fontId="18" fillId="11" borderId="6" applyAlignment="1" pivotButton="0" quotePrefix="0" xfId="0">
      <alignment horizontal="right" vertical="center"/>
    </xf>
    <xf numFmtId="1" fontId="17" fillId="14" borderId="6" applyAlignment="1" pivotButton="0" quotePrefix="0" xfId="0">
      <alignment horizontal="right" vertical="center"/>
    </xf>
    <xf numFmtId="1" fontId="19" fillId="11" borderId="6" applyAlignment="1" pivotButton="0" quotePrefix="0" xfId="0">
      <alignment horizontal="right" vertical="center"/>
    </xf>
    <xf numFmtId="0" fontId="7" fillId="11" borderId="6" applyAlignment="1" pivotButton="0" quotePrefix="0" xfId="0">
      <alignment horizontal="left" vertical="center"/>
    </xf>
    <xf numFmtId="169" fontId="18" fillId="11" borderId="6" applyAlignment="1" pivotButton="0" quotePrefix="0" xfId="0">
      <alignment horizontal="right" vertical="center"/>
    </xf>
    <xf numFmtId="169" fontId="17" fillId="14" borderId="6" applyAlignment="1" pivotButton="0" quotePrefix="0" xfId="0">
      <alignment horizontal="right" vertical="center"/>
    </xf>
    <xf numFmtId="169" fontId="19" fillId="11" borderId="6" applyAlignment="1" pivotButton="0" quotePrefix="0" xfId="0">
      <alignment horizontal="right" vertical="center"/>
    </xf>
    <xf numFmtId="0" fontId="11" fillId="19" borderId="6" applyAlignment="1" pivotButton="0" quotePrefix="0" xfId="0">
      <alignment horizontal="center" vertical="center"/>
    </xf>
    <xf numFmtId="0" fontId="7" fillId="12" borderId="6" applyAlignment="1" pivotButton="0" quotePrefix="0" xfId="0">
      <alignment horizontal="right" vertical="center"/>
    </xf>
    <xf numFmtId="0" fontId="20" fillId="18" borderId="6" applyAlignment="1" pivotButton="0" quotePrefix="0" xfId="0">
      <alignment horizontal="right" vertical="center"/>
    </xf>
    <xf numFmtId="164" fontId="7" fillId="12" borderId="6" applyAlignment="1" pivotButton="0" quotePrefix="0" xfId="0">
      <alignment horizontal="right" vertical="center"/>
    </xf>
    <xf numFmtId="164" fontId="20" fillId="18" borderId="6" applyAlignment="1" pivotButton="0" quotePrefix="0" xfId="0">
      <alignment horizontal="right" vertical="center"/>
    </xf>
    <xf numFmtId="165" fontId="20" fillId="18" borderId="6" applyAlignment="1" pivotButton="0" quotePrefix="0" xfId="0">
      <alignment horizontal="right" vertical="center"/>
    </xf>
    <xf numFmtId="164" fontId="21" fillId="18" borderId="6" applyAlignment="1" pivotButton="0" quotePrefix="0" xfId="0">
      <alignment horizontal="right" vertical="center"/>
    </xf>
    <xf numFmtId="1" fontId="7" fillId="12" borderId="6" applyAlignment="1" pivotButton="0" quotePrefix="0" xfId="0">
      <alignment horizontal="right" vertical="center"/>
    </xf>
    <xf numFmtId="1" fontId="20" fillId="18" borderId="6" applyAlignment="1" pivotButton="0" quotePrefix="0" xfId="0">
      <alignment horizontal="right" vertical="center"/>
    </xf>
    <xf numFmtId="166" fontId="12" fillId="11" borderId="6" applyAlignment="1" pivotButton="0" quotePrefix="0" xfId="0">
      <alignment horizontal="right" vertical="center"/>
    </xf>
    <xf numFmtId="166" fontId="21" fillId="18" borderId="6" applyAlignment="1" pivotButton="0" quotePrefix="0" xfId="0">
      <alignment horizontal="right" vertical="center"/>
    </xf>
    <xf numFmtId="0" fontId="22" fillId="10" borderId="0" applyAlignment="1" pivotButton="0" quotePrefix="0" xfId="0">
      <alignment horizontal="center" vertical="center"/>
    </xf>
    <xf numFmtId="0" fontId="6" fillId="13" borderId="6" applyAlignment="1" pivotButton="0" quotePrefix="0" xfId="0">
      <alignment horizontal="left" vertical="center"/>
    </xf>
    <xf numFmtId="0" fontId="7" fillId="12" borderId="6" applyAlignment="1" pivotButton="0" quotePrefix="0" xfId="0">
      <alignment horizontal="left" vertical="center"/>
    </xf>
    <xf numFmtId="164" fontId="7" fillId="12" borderId="6" applyAlignment="1" pivotButton="0" quotePrefix="0" xfId="0">
      <alignment horizontal="center" vertical="center"/>
    </xf>
    <xf numFmtId="0" fontId="7" fillId="12" borderId="6" applyAlignment="1" pivotButton="0" quotePrefix="0" xfId="0">
      <alignment horizontal="center" vertical="center"/>
    </xf>
    <xf numFmtId="164" fontId="12" fillId="13" borderId="6" applyAlignment="1" pivotButton="0" quotePrefix="0" xfId="0">
      <alignment horizontal="center" vertical="center"/>
    </xf>
    <xf numFmtId="0" fontId="12" fillId="13" borderId="6" applyAlignment="1" pivotButton="0" quotePrefix="0" xfId="0">
      <alignment horizontal="center" vertical="center"/>
    </xf>
    <xf numFmtId="166" fontId="12" fillId="13" borderId="6" applyAlignment="1" pivotButton="0" quotePrefix="0" xfId="0">
      <alignment horizontal="center" vertical="center"/>
    </xf>
    <xf numFmtId="0" fontId="14" fillId="9" borderId="7" applyAlignment="1" pivotButton="0" quotePrefix="0" xfId="0">
      <alignment horizontal="center" vertical="center"/>
    </xf>
    <xf numFmtId="0" fontId="18" fillId="11" borderId="6" applyAlignment="1" pivotButton="0" quotePrefix="0" xfId="0">
      <alignment horizontal="left" vertical="center"/>
    </xf>
    <xf numFmtId="165" fontId="6" fillId="11" borderId="6" applyAlignment="1" pivotButton="0" quotePrefix="0" xfId="0">
      <alignment horizontal="right" vertical="center"/>
    </xf>
    <xf numFmtId="1" fontId="6" fillId="11" borderId="6" applyAlignment="1" pivotButton="0" quotePrefix="0" xfId="0">
      <alignment horizontal="right" vertical="center"/>
    </xf>
    <xf numFmtId="0" fontId="30" fillId="9" borderId="0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9" fillId="22" borderId="0" applyAlignment="1" pivotButton="0" quotePrefix="0" xfId="0">
      <alignment horizontal="center" vertical="center"/>
    </xf>
    <xf numFmtId="0" fontId="32" fillId="23" borderId="0" applyAlignment="1" pivotButton="0" quotePrefix="0" xfId="0">
      <alignment horizontal="center" vertical="center"/>
    </xf>
    <xf numFmtId="0" fontId="9" fillId="20" borderId="0" applyAlignment="1" pivotButton="0" quotePrefix="0" xfId="0">
      <alignment horizontal="center" vertical="center"/>
    </xf>
    <xf numFmtId="0" fontId="5" fillId="19" borderId="0" applyAlignment="1" pivotButton="0" quotePrefix="0" xfId="0">
      <alignment horizontal="center" vertical="center"/>
    </xf>
    <xf numFmtId="0" fontId="15" fillId="19" borderId="6" applyAlignment="1" pivotButton="0" quotePrefix="0" xfId="0">
      <alignment horizontal="left" vertical="center"/>
    </xf>
    <xf numFmtId="0" fontId="33" fillId="19" borderId="6" applyAlignment="1" pivotButton="0" quotePrefix="0" xfId="0">
      <alignment horizontal="center" vertical="center"/>
    </xf>
    <xf numFmtId="167" fontId="6" fillId="13" borderId="6" applyAlignment="1" pivotButton="0" quotePrefix="0" xfId="0">
      <alignment horizontal="center" vertical="center"/>
    </xf>
    <xf numFmtId="165" fontId="6" fillId="13" borderId="6" applyAlignment="1" pivotButton="0" quotePrefix="0" xfId="0">
      <alignment horizontal="center" vertical="center"/>
    </xf>
    <xf numFmtId="168" fontId="6" fillId="13" borderId="6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 wrapText="1"/>
    </xf>
    <xf numFmtId="0" fontId="15" fillId="19" borderId="6" applyAlignment="1" pivotButton="0" quotePrefix="0" xfId="0">
      <alignment horizontal="center" vertical="center" wrapText="1"/>
    </xf>
    <xf numFmtId="49" fontId="16" fillId="11" borderId="16" applyAlignment="1" pivotButton="0" quotePrefix="0" xfId="0">
      <alignment horizontal="left" vertical="center"/>
    </xf>
    <xf numFmtId="49" fontId="13" fillId="15" borderId="16" applyAlignment="1" pivotButton="0" quotePrefix="0" xfId="0">
      <alignment horizontal="center" vertical="center"/>
    </xf>
    <xf numFmtId="170" fontId="13" fillId="15" borderId="16" applyAlignment="1" pivotButton="0" quotePrefix="0" xfId="0">
      <alignment horizontal="right" vertical="center"/>
    </xf>
    <xf numFmtId="165" fontId="13" fillId="15" borderId="16" applyAlignment="1" pivotButton="0" quotePrefix="0" xfId="0">
      <alignment horizontal="right" vertical="center"/>
    </xf>
    <xf numFmtId="167" fontId="13" fillId="15" borderId="16" applyAlignment="1" pivotButton="0" quotePrefix="0" xfId="0">
      <alignment horizontal="right" vertical="center"/>
    </xf>
    <xf numFmtId="168" fontId="13" fillId="15" borderId="16" applyAlignment="1" pivotButton="0" quotePrefix="0" xfId="0">
      <alignment horizontal="right" vertical="center"/>
    </xf>
    <xf numFmtId="49" fontId="26" fillId="11" borderId="16" applyAlignment="1" pivotButton="0" quotePrefix="0" xfId="0">
      <alignment horizontal="center" vertical="center"/>
    </xf>
    <xf numFmtId="49" fontId="27" fillId="12" borderId="6" applyAlignment="1" pivotButton="0" quotePrefix="0" xfId="0">
      <alignment horizontal="left" vertical="center"/>
    </xf>
    <xf numFmtId="49" fontId="13" fillId="16" borderId="6" applyAlignment="1" pivotButton="0" quotePrefix="0" xfId="0">
      <alignment horizontal="center" vertical="center"/>
    </xf>
    <xf numFmtId="170" fontId="13" fillId="16" borderId="6" applyAlignment="1" pivotButton="0" quotePrefix="0" xfId="0">
      <alignment horizontal="right" vertical="center"/>
    </xf>
    <xf numFmtId="165" fontId="13" fillId="16" borderId="6" applyAlignment="1" pivotButton="0" quotePrefix="0" xfId="0">
      <alignment horizontal="right" vertical="center"/>
    </xf>
    <xf numFmtId="167" fontId="13" fillId="16" borderId="6" applyAlignment="1" pivotButton="0" quotePrefix="0" xfId="0">
      <alignment horizontal="right" vertical="center"/>
    </xf>
    <xf numFmtId="168" fontId="13" fillId="16" borderId="6" applyAlignment="1" pivotButton="0" quotePrefix="0" xfId="0">
      <alignment horizontal="right" vertical="center"/>
    </xf>
    <xf numFmtId="49" fontId="26" fillId="11" borderId="6" applyAlignment="1" pivotButton="0" quotePrefix="0" xfId="0">
      <alignment horizontal="center" vertical="center"/>
    </xf>
    <xf numFmtId="49" fontId="13" fillId="17" borderId="6" applyAlignment="1" pivotButton="0" quotePrefix="0" xfId="0">
      <alignment horizontal="center" vertical="center"/>
    </xf>
    <xf numFmtId="170" fontId="13" fillId="17" borderId="6" applyAlignment="1" pivotButton="0" quotePrefix="0" xfId="0">
      <alignment horizontal="right" vertical="center"/>
    </xf>
    <xf numFmtId="165" fontId="13" fillId="17" borderId="6" applyAlignment="1" pivotButton="0" quotePrefix="0" xfId="0">
      <alignment horizontal="right" vertical="center"/>
    </xf>
    <xf numFmtId="167" fontId="13" fillId="17" borderId="6" applyAlignment="1" pivotButton="0" quotePrefix="0" xfId="0">
      <alignment horizontal="right" vertical="center"/>
    </xf>
    <xf numFmtId="168" fontId="13" fillId="17" borderId="6" applyAlignment="1" pivotButton="0" quotePrefix="0" xfId="0">
      <alignment horizontal="right" vertical="center"/>
    </xf>
    <xf numFmtId="0" fontId="34" fillId="11" borderId="0" applyAlignment="1" pivotButton="0" quotePrefix="0" xfId="0">
      <alignment horizontal="left" vertical="center" wrapText="1"/>
    </xf>
    <xf numFmtId="0" fontId="35" fillId="13" borderId="6" applyAlignment="1" pivotButton="0" quotePrefix="0" xfId="0">
      <alignment horizontal="left" vertical="center"/>
    </xf>
    <xf numFmtId="0" fontId="9" fillId="9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5" fillId="9" borderId="6" applyAlignment="1" pivotButton="0" quotePrefix="0" xfId="0">
      <alignment horizontal="left" vertical="center" wrapText="1"/>
    </xf>
    <xf numFmtId="0" fontId="16" fillId="11" borderId="6" applyAlignment="1" pivotButton="0" quotePrefix="0" xfId="0">
      <alignment horizontal="left" vertical="center"/>
    </xf>
    <xf numFmtId="0" fontId="25" fillId="15" borderId="6" applyAlignment="1" pivotButton="0" quotePrefix="0" xfId="0">
      <alignment horizontal="center" vertical="center"/>
    </xf>
    <xf numFmtId="167" fontId="13" fillId="15" borderId="6" applyAlignment="1" pivotButton="0" quotePrefix="0" xfId="0">
      <alignment horizontal="right" vertical="center"/>
    </xf>
    <xf numFmtId="170" fontId="13" fillId="15" borderId="6" applyAlignment="1" pivotButton="0" quotePrefix="0" xfId="0">
      <alignment horizontal="right" vertical="center"/>
    </xf>
    <xf numFmtId="165" fontId="13" fillId="15" borderId="6" applyAlignment="1" pivotButton="0" quotePrefix="0" xfId="0">
      <alignment horizontal="right" vertical="center"/>
    </xf>
    <xf numFmtId="168" fontId="13" fillId="15" borderId="6" applyAlignment="1" pivotButton="0" quotePrefix="0" xfId="0">
      <alignment horizontal="right" vertical="center"/>
    </xf>
    <xf numFmtId="49" fontId="26" fillId="15" borderId="6" applyAlignment="1" pivotButton="0" quotePrefix="0" xfId="0">
      <alignment horizontal="center" vertical="center"/>
    </xf>
    <xf numFmtId="0" fontId="27" fillId="12" borderId="6" applyAlignment="1" pivotButton="0" quotePrefix="0" xfId="0">
      <alignment horizontal="left" vertical="center"/>
    </xf>
    <xf numFmtId="0" fontId="28" fillId="16" borderId="6" applyAlignment="1" pivotButton="0" quotePrefix="0" xfId="0">
      <alignment horizontal="center" vertical="center"/>
    </xf>
    <xf numFmtId="49" fontId="26" fillId="16" borderId="6" applyAlignment="1" pivotButton="0" quotePrefix="0" xfId="0">
      <alignment horizontal="center" vertical="center"/>
    </xf>
    <xf numFmtId="0" fontId="29" fillId="17" borderId="6" applyAlignment="1" pivotButton="0" quotePrefix="0" xfId="0">
      <alignment horizontal="center" vertical="center"/>
    </xf>
    <xf numFmtId="49" fontId="26" fillId="17" borderId="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49" fontId="16" fillId="11" borderId="16" applyAlignment="1" pivotButton="0" quotePrefix="0" xfId="0">
      <alignment horizontal="left" vertical="center"/>
    </xf>
    <xf numFmtId="49" fontId="13" fillId="15" borderId="16" applyAlignment="1" pivotButton="0" quotePrefix="0" xfId="0">
      <alignment horizontal="center" vertical="center"/>
    </xf>
    <xf numFmtId="170" fontId="13" fillId="15" borderId="16" applyAlignment="1" pivotButton="0" quotePrefix="0" xfId="0">
      <alignment horizontal="right" vertical="center"/>
    </xf>
    <xf numFmtId="165" fontId="13" fillId="15" borderId="16" applyAlignment="1" pivotButton="0" quotePrefix="0" xfId="0">
      <alignment horizontal="right" vertical="center"/>
    </xf>
    <xf numFmtId="167" fontId="13" fillId="15" borderId="16" applyAlignment="1" pivotButton="0" quotePrefix="0" xfId="0">
      <alignment horizontal="right" vertical="center"/>
    </xf>
    <xf numFmtId="168" fontId="13" fillId="15" borderId="16" applyAlignment="1" pivotButton="0" quotePrefix="0" xfId="0">
      <alignment horizontal="right" vertical="center"/>
    </xf>
    <xf numFmtId="49" fontId="26" fillId="11" borderId="16" applyAlignment="1" pivotButton="0" quotePrefix="0" xfId="0">
      <alignment horizontal="center" vertical="center"/>
    </xf>
    <xf numFmtId="49" fontId="27" fillId="12" borderId="6" applyAlignment="1" pivotButton="0" quotePrefix="0" xfId="0">
      <alignment horizontal="left" vertical="center"/>
    </xf>
    <xf numFmtId="49" fontId="13" fillId="16" borderId="6" applyAlignment="1" pivotButton="0" quotePrefix="0" xfId="0">
      <alignment horizontal="center" vertical="center"/>
    </xf>
    <xf numFmtId="170" fontId="13" fillId="16" borderId="6" applyAlignment="1" pivotButton="0" quotePrefix="0" xfId="0">
      <alignment horizontal="right" vertical="center"/>
    </xf>
    <xf numFmtId="165" fontId="13" fillId="16" borderId="6" applyAlignment="1" pivotButton="0" quotePrefix="0" xfId="0">
      <alignment horizontal="right" vertical="center"/>
    </xf>
    <xf numFmtId="167" fontId="13" fillId="16" borderId="6" applyAlignment="1" pivotButton="0" quotePrefix="0" xfId="0">
      <alignment horizontal="right" vertical="center"/>
    </xf>
    <xf numFmtId="168" fontId="13" fillId="16" borderId="6" applyAlignment="1" pivotButton="0" quotePrefix="0" xfId="0">
      <alignment horizontal="right" vertical="center"/>
    </xf>
    <xf numFmtId="49" fontId="26" fillId="11" borderId="6" applyAlignment="1" pivotButton="0" quotePrefix="0" xfId="0">
      <alignment horizontal="center" vertical="center"/>
    </xf>
    <xf numFmtId="49" fontId="13" fillId="17" borderId="6" applyAlignment="1" pivotButton="0" quotePrefix="0" xfId="0">
      <alignment horizontal="center" vertical="center"/>
    </xf>
    <xf numFmtId="170" fontId="13" fillId="17" borderId="6" applyAlignment="1" pivotButton="0" quotePrefix="0" xfId="0">
      <alignment horizontal="right" vertical="center"/>
    </xf>
    <xf numFmtId="165" fontId="13" fillId="17" borderId="6" applyAlignment="1" pivotButton="0" quotePrefix="0" xfId="0">
      <alignment horizontal="right" vertical="center"/>
    </xf>
    <xf numFmtId="167" fontId="13" fillId="17" borderId="6" applyAlignment="1" pivotButton="0" quotePrefix="0" xfId="0">
      <alignment horizontal="right" vertical="center"/>
    </xf>
    <xf numFmtId="168" fontId="13" fillId="17" borderId="6" applyAlignment="1" pivotButton="0" quotePrefix="0" xfId="0">
      <alignment horizontal="right" vertical="center"/>
    </xf>
    <xf numFmtId="0" fontId="16" fillId="11" borderId="6" applyAlignment="1" pivotButton="0" quotePrefix="0" xfId="0">
      <alignment horizontal="left" vertical="center"/>
    </xf>
    <xf numFmtId="0" fontId="25" fillId="15" borderId="6" applyAlignment="1" pivotButton="0" quotePrefix="0" xfId="0">
      <alignment horizontal="center" vertical="center"/>
    </xf>
    <xf numFmtId="167" fontId="13" fillId="15" borderId="6" applyAlignment="1" pivotButton="0" quotePrefix="0" xfId="0">
      <alignment horizontal="right" vertical="center"/>
    </xf>
    <xf numFmtId="170" fontId="13" fillId="15" borderId="6" applyAlignment="1" pivotButton="0" quotePrefix="0" xfId="0">
      <alignment horizontal="right" vertical="center"/>
    </xf>
    <xf numFmtId="165" fontId="13" fillId="15" borderId="6" applyAlignment="1" pivotButton="0" quotePrefix="0" xfId="0">
      <alignment horizontal="right" vertical="center"/>
    </xf>
    <xf numFmtId="168" fontId="13" fillId="15" borderId="6" applyAlignment="1" pivotButton="0" quotePrefix="0" xfId="0">
      <alignment horizontal="right" vertical="center"/>
    </xf>
    <xf numFmtId="49" fontId="13" fillId="15" borderId="6" applyAlignment="1" pivotButton="0" quotePrefix="0" xfId="0">
      <alignment horizontal="center" vertical="center"/>
    </xf>
    <xf numFmtId="0" fontId="27" fillId="12" borderId="6" applyAlignment="1" pivotButton="0" quotePrefix="0" xfId="0">
      <alignment horizontal="left" vertical="center"/>
    </xf>
    <xf numFmtId="0" fontId="28" fillId="16" borderId="6" applyAlignment="1" pivotButton="0" quotePrefix="0" xfId="0">
      <alignment horizontal="center" vertical="center"/>
    </xf>
    <xf numFmtId="0" fontId="29" fillId="17" borderId="6" applyAlignment="1" pivotButton="0" quotePrefix="0" xfId="0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rgb="FFE7E6E6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0B4"/>
        </patternFill>
      </fill>
    </dxf>
    <dxf>
      <font>
        <name val="Arial"/>
        <b val="1"/>
        <color rgb="00C0392B"/>
      </font>
    </dxf>
    <dxf>
      <font>
        <name val="Arial"/>
        <b val="1"/>
        <color rgb="001E7E34"/>
      </font>
    </dxf>
    <dxf>
      <font>
        <name val="Arial"/>
        <b val="1"/>
        <color rgb="00FFFFFF"/>
      </font>
      <fill>
        <patternFill patternType="solid">
          <fgColor rgb="001E7E34"/>
        </patternFill>
      </fill>
    </dxf>
    <dxf>
      <font>
        <name val="Arial"/>
        <b val="1"/>
        <color rgb="00FFFFFF"/>
      </font>
      <fill>
        <patternFill patternType="solid">
          <fgColor rgb="00C0392B"/>
        </patternFill>
      </fill>
    </dxf>
    <dxf>
      <font>
        <name val="Arial"/>
        <b val="1"/>
        <color rgb="001C1C1C"/>
      </font>
      <fill>
        <patternFill patternType="solid">
          <fgColor rgb="00F39C12"/>
        </patternFill>
      </fill>
    </dxf>
    <dxf>
      <font>
        <name val="Arial"/>
        <b val="1"/>
        <color rgb="00000000"/>
      </font>
      <fill>
        <patternFill patternType="solid">
          <fgColor rgb="00F39C1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Base vs Stress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0"/>
          <cat>
            <strRef>
              <f>Dashboard!$A$8:$A$12</f>
              <strCache>
                <ptCount val="5"/>
                <pt idx="0">
                  <v>Revenue</v>
                </pt>
                <pt idx="1">
                  <v>EBITDA</v>
                </pt>
                <pt idx="2">
                  <v>Net income</v>
                </pt>
                <pt idx="3">
                  <v>CFO (modeled)</v>
                </pt>
                <pt idx="4">
                  <v>Ending cash</v>
                </pt>
              </strCache>
            </strRef>
          </cat>
          <val>
            <numRef>
              <f>Dashboard!$B$8:$B$12</f>
              <numCache>
                <formatCode>#\ ##0.0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invertIfNegative val="0"/>
          <cat>
            <strRef>
              <f>Dashboard!$A$8:$A$12</f>
              <strCache>
                <ptCount val="5"/>
                <pt idx="0">
                  <v>Revenue</v>
                </pt>
                <pt idx="1">
                  <v>EBITDA</v>
                </pt>
                <pt idx="2">
                  <v>Net income</v>
                </pt>
                <pt idx="3">
                  <v>CFO (modeled)</v>
                </pt>
                <pt idx="4">
                  <v>Ending cash</v>
                </pt>
              </strCache>
            </strRef>
          </cat>
          <val>
            <numRef>
              <f>Dashboard!$C$8:$C$12</f>
              <numCache>
                <formatCode>#\ ##0.0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Value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Metric</a:t>
                </a:r>
              </a:p>
            </rich>
          </tx>
          <overlay val="0"/>
        </title>
        <numFmt formatCode="#\ ##0.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21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B1:L73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28" min="1" max="1"/>
    <col width="32" customWidth="1" style="28" min="2" max="2"/>
    <col width="10" customWidth="1" style="28" min="3" max="3"/>
    <col width="13" customWidth="1" style="28" min="4" max="4"/>
    <col width="13" customWidth="1" style="28" min="5" max="5"/>
    <col width="13" customWidth="1" style="28" min="6" max="6"/>
    <col width="13" customWidth="1" style="28" min="7" max="7"/>
    <col width="13" customWidth="1" style="28" min="8" max="8"/>
    <col width="13" customWidth="1" style="28" min="9" max="9"/>
    <col width="9" customWidth="1" style="28" min="10" max="10"/>
    <col width="9" customWidth="1" style="28" min="11" max="11"/>
    <col width="13" customWidth="1" style="28" min="12" max="12"/>
    <col width="2" customWidth="1" style="28" min="13" max="13"/>
  </cols>
  <sheetData>
    <row r="1" ht="36" customHeight="1" s="28">
      <c r="B1" s="150" t="inlineStr">
        <is>
          <t>🚦  FULL STRESS TEST DASHBOARD  —  All 20 Scenarios × 3 Severities</t>
        </is>
      </c>
    </row>
    <row r="2" ht="22" customHeight="1" s="28">
      <c r="B2" s="151">
        <f>CONCAT("Base data: ",'Hist_Financials'!B1,"  |  Leverage threshold: ",'Scenario_Setup'!B13,"x  |  Coverage threshold: ",'Scenario_Setup'!B12,"x  |  Min cash: ",'Scenario_Setup'!B11)</f>
        <v/>
      </c>
    </row>
    <row r="3" ht="8" customHeight="1" s="28"/>
    <row r="4" ht="30" customHeight="1" s="28">
      <c r="B4" s="152">
        <f>COUNTIF('⚙️ Scenario Matrix'!N4:N63,"CRITICAL")&amp;" CRITICAL"</f>
        <v/>
      </c>
      <c r="E4" s="153">
        <f>COUNTIF('⚙️ Scenario Matrix'!N4:N63,"WATCH")&amp;" WATCH"</f>
        <v/>
      </c>
      <c r="H4" s="154">
        <f>COUNTIF('⚙️ Scenario Matrix'!N4:N63,"RESILIENT")&amp;" RESILIENT"</f>
        <v/>
      </c>
      <c r="K4" s="155">
        <f>60&amp;" total scenarios"</f>
        <v/>
      </c>
    </row>
    <row r="5" ht="8" customHeight="1" s="28"/>
    <row r="6" ht="16" customHeight="1" s="28">
      <c r="B6" s="156" t="inlineStr">
        <is>
          <t>BASE CASE REFERENCE →</t>
        </is>
      </c>
      <c r="C6" s="66" t="n"/>
      <c r="D6" s="157" t="inlineStr">
        <is>
          <t>Revenue ($mm)</t>
        </is>
      </c>
      <c r="E6" s="157" t="inlineStr">
        <is>
          <t>EBITDA ($mm)</t>
        </is>
      </c>
      <c r="F6" s="157" t="inlineStr">
        <is>
          <t>EBITDA Margin</t>
        </is>
      </c>
      <c r="G6" s="157" t="inlineStr">
        <is>
          <t>Net Income</t>
        </is>
      </c>
      <c r="H6" s="157" t="inlineStr">
        <is>
          <t>FCF ($mm)</t>
        </is>
      </c>
      <c r="I6" s="157" t="inlineStr">
        <is>
          <t>Cash ($mm)</t>
        </is>
      </c>
      <c r="J6" s="157" t="inlineStr">
        <is>
          <t>Net Lev.</t>
        </is>
      </c>
      <c r="K6" s="157" t="inlineStr">
        <is>
          <t>Int Cov.</t>
        </is>
      </c>
    </row>
    <row r="7" ht="20" customHeight="1" s="28">
      <c r="D7" s="158">
        <f>'Hist_Financials'!D6</f>
        <v/>
      </c>
      <c r="E7" s="158">
        <f>'Hist_Financials'!D11</f>
        <v/>
      </c>
      <c r="F7" s="159">
        <f>IFERROR('Hist_Financials'!D11/'Hist_Financials'!D6,0)</f>
        <v/>
      </c>
      <c r="G7" s="158">
        <f>'Hist_Financials'!D17</f>
        <v/>
      </c>
      <c r="H7" s="158">
        <f>IFERROR('Hist_Financials'!D39-'Hist_Financials'!D36,'Hist_Financials'!D17+'Hist_Financials'!D12-'Hist_Financials'!D36)</f>
        <v/>
      </c>
      <c r="I7" s="158">
        <f>'Hist_Financials'!D20</f>
        <v/>
      </c>
      <c r="J7" s="160">
        <f>IFERROR(('Hist_Financials'!D27+'Hist_Financials'!D30-'Hist_Financials'!D20)/MAX('Hist_Financials'!D11,0.01),0)</f>
        <v/>
      </c>
      <c r="K7" s="160">
        <f>IFERROR('Hist_Financials'!D13/MAX('Hist_Financials'!D14,0.01),0)</f>
        <v/>
      </c>
    </row>
    <row r="8" ht="8" customHeight="1" s="28"/>
    <row r="9" ht="20" customHeight="1" s="28">
      <c r="B9" s="161" t="inlineStr">
        <is>
          <t>SCENARIO / SEVERITY</t>
        </is>
      </c>
      <c r="C9" s="66" t="n"/>
      <c r="D9" s="162" t="inlineStr">
        <is>
          <t>P&amp;L IMPACT</t>
        </is>
      </c>
      <c r="E9" s="66" t="n"/>
      <c r="F9" s="162" t="inlineStr">
        <is>
          <t>EARNINGS &amp; CASH GENERATION</t>
        </is>
      </c>
      <c r="G9" s="202" t="n"/>
      <c r="H9" s="66" t="n"/>
      <c r="I9" s="162" t="inlineStr">
        <is>
          <t>CREDIT METRICS</t>
        </is>
      </c>
      <c r="J9" s="202" t="n"/>
      <c r="K9" s="66" t="n"/>
      <c r="L9" s="161" t="inlineStr">
        <is>
          <t>RATING</t>
        </is>
      </c>
    </row>
    <row r="10" ht="30" customHeight="1" s="28">
      <c r="B10" s="163" t="inlineStr">
        <is>
          <t>Scenario</t>
        </is>
      </c>
      <c r="C10" s="163" t="inlineStr">
        <is>
          <t>Severity</t>
        </is>
      </c>
      <c r="D10" s="97" t="inlineStr">
        <is>
          <t>Revenue Δ</t>
        </is>
      </c>
      <c r="E10" s="97" t="inlineStr">
        <is>
          <t>EBITDA Δ</t>
        </is>
      </c>
      <c r="F10" s="164" t="inlineStr">
        <is>
          <t>EBITDA
Margin %</t>
        </is>
      </c>
      <c r="G10" s="164" t="inlineStr">
        <is>
          <t>Net Income</t>
        </is>
      </c>
      <c r="H10" s="164" t="inlineStr">
        <is>
          <t>FCF</t>
        </is>
      </c>
      <c r="I10" s="164" t="inlineStr">
        <is>
          <t>End Cash</t>
        </is>
      </c>
      <c r="J10" s="164" t="inlineStr">
        <is>
          <t>Net Lev.</t>
        </is>
      </c>
      <c r="K10" s="164" t="inlineStr">
        <is>
          <t>Int Cov.</t>
        </is>
      </c>
      <c r="L10" s="163" t="inlineStr">
        <is>
          <t>⚡ Outcome</t>
        </is>
      </c>
    </row>
    <row r="11" ht="17" customHeight="1" s="28">
      <c r="B11" s="204">
        <f>'⚙️ Scenario Matrix'!B4</f>
        <v/>
      </c>
      <c r="C11" s="205">
        <f>'⚙️ Scenario Matrix'!C4</f>
        <v/>
      </c>
      <c r="D11" s="206">
        <f>'⚙️ Scenario Matrix'!E4</f>
        <v/>
      </c>
      <c r="E11" s="206">
        <f>'⚙️ Scenario Matrix'!H4</f>
        <v/>
      </c>
      <c r="F11" s="207">
        <f>'⚙️ Scenario Matrix'!F4</f>
        <v/>
      </c>
      <c r="G11" s="208">
        <f>'⚙️ Scenario Matrix'!I4</f>
        <v/>
      </c>
      <c r="H11" s="208">
        <f>'⚙️ Scenario Matrix'!J4</f>
        <v/>
      </c>
      <c r="I11" s="208">
        <f>'⚙️ Scenario Matrix'!K4</f>
        <v/>
      </c>
      <c r="J11" s="209">
        <f>'⚙️ Scenario Matrix'!L4</f>
        <v/>
      </c>
      <c r="K11" s="209">
        <f>'⚙️ Scenario Matrix'!M4</f>
        <v/>
      </c>
      <c r="L11" s="210">
        <f>'⚙️ Scenario Matrix'!N4</f>
        <v/>
      </c>
    </row>
    <row r="12" ht="17" customHeight="1" s="28">
      <c r="B12" s="211">
        <f>'⚙️ Scenario Matrix'!B5</f>
        <v/>
      </c>
      <c r="C12" s="212">
        <f>'⚙️ Scenario Matrix'!C5</f>
        <v/>
      </c>
      <c r="D12" s="213">
        <f>'⚙️ Scenario Matrix'!E5</f>
        <v/>
      </c>
      <c r="E12" s="213">
        <f>'⚙️ Scenario Matrix'!H5</f>
        <v/>
      </c>
      <c r="F12" s="214">
        <f>'⚙️ Scenario Matrix'!F5</f>
        <v/>
      </c>
      <c r="G12" s="215">
        <f>'⚙️ Scenario Matrix'!I5</f>
        <v/>
      </c>
      <c r="H12" s="215">
        <f>'⚙️ Scenario Matrix'!J5</f>
        <v/>
      </c>
      <c r="I12" s="215">
        <f>'⚙️ Scenario Matrix'!K5</f>
        <v/>
      </c>
      <c r="J12" s="216">
        <f>'⚙️ Scenario Matrix'!L5</f>
        <v/>
      </c>
      <c r="K12" s="216">
        <f>'⚙️ Scenario Matrix'!M5</f>
        <v/>
      </c>
      <c r="L12" s="217">
        <f>'⚙️ Scenario Matrix'!N5</f>
        <v/>
      </c>
    </row>
    <row r="13" ht="17" customHeight="1" s="28">
      <c r="B13" s="211">
        <f>'⚙️ Scenario Matrix'!B6</f>
        <v/>
      </c>
      <c r="C13" s="218">
        <f>'⚙️ Scenario Matrix'!C6</f>
        <v/>
      </c>
      <c r="D13" s="219">
        <f>'⚙️ Scenario Matrix'!E6</f>
        <v/>
      </c>
      <c r="E13" s="219">
        <f>'⚙️ Scenario Matrix'!H6</f>
        <v/>
      </c>
      <c r="F13" s="220">
        <f>'⚙️ Scenario Matrix'!F6</f>
        <v/>
      </c>
      <c r="G13" s="221">
        <f>'⚙️ Scenario Matrix'!I6</f>
        <v/>
      </c>
      <c r="H13" s="221">
        <f>'⚙️ Scenario Matrix'!J6</f>
        <v/>
      </c>
      <c r="I13" s="221">
        <f>'⚙️ Scenario Matrix'!K6</f>
        <v/>
      </c>
      <c r="J13" s="222">
        <f>'⚙️ Scenario Matrix'!L6</f>
        <v/>
      </c>
      <c r="K13" s="222">
        <f>'⚙️ Scenario Matrix'!M6</f>
        <v/>
      </c>
      <c r="L13" s="217">
        <f>'⚙️ Scenario Matrix'!N6</f>
        <v/>
      </c>
    </row>
    <row r="14" ht="17" customHeight="1" s="28">
      <c r="B14" s="204">
        <f>'⚙️ Scenario Matrix'!B7</f>
        <v/>
      </c>
      <c r="C14" s="205">
        <f>'⚙️ Scenario Matrix'!C7</f>
        <v/>
      </c>
      <c r="D14" s="206">
        <f>'⚙️ Scenario Matrix'!E7</f>
        <v/>
      </c>
      <c r="E14" s="206">
        <f>'⚙️ Scenario Matrix'!H7</f>
        <v/>
      </c>
      <c r="F14" s="207">
        <f>'⚙️ Scenario Matrix'!F7</f>
        <v/>
      </c>
      <c r="G14" s="208">
        <f>'⚙️ Scenario Matrix'!I7</f>
        <v/>
      </c>
      <c r="H14" s="208">
        <f>'⚙️ Scenario Matrix'!J7</f>
        <v/>
      </c>
      <c r="I14" s="208">
        <f>'⚙️ Scenario Matrix'!K7</f>
        <v/>
      </c>
      <c r="J14" s="209">
        <f>'⚙️ Scenario Matrix'!L7</f>
        <v/>
      </c>
      <c r="K14" s="209">
        <f>'⚙️ Scenario Matrix'!M7</f>
        <v/>
      </c>
      <c r="L14" s="210">
        <f>'⚙️ Scenario Matrix'!N7</f>
        <v/>
      </c>
    </row>
    <row r="15" ht="17" customHeight="1" s="28">
      <c r="B15" s="211">
        <f>'⚙️ Scenario Matrix'!B8</f>
        <v/>
      </c>
      <c r="C15" s="212">
        <f>'⚙️ Scenario Matrix'!C8</f>
        <v/>
      </c>
      <c r="D15" s="213">
        <f>'⚙️ Scenario Matrix'!E8</f>
        <v/>
      </c>
      <c r="E15" s="213">
        <f>'⚙️ Scenario Matrix'!H8</f>
        <v/>
      </c>
      <c r="F15" s="214">
        <f>'⚙️ Scenario Matrix'!F8</f>
        <v/>
      </c>
      <c r="G15" s="215">
        <f>'⚙️ Scenario Matrix'!I8</f>
        <v/>
      </c>
      <c r="H15" s="215">
        <f>'⚙️ Scenario Matrix'!J8</f>
        <v/>
      </c>
      <c r="I15" s="215">
        <f>'⚙️ Scenario Matrix'!K8</f>
        <v/>
      </c>
      <c r="J15" s="216">
        <f>'⚙️ Scenario Matrix'!L8</f>
        <v/>
      </c>
      <c r="K15" s="216">
        <f>'⚙️ Scenario Matrix'!M8</f>
        <v/>
      </c>
      <c r="L15" s="217">
        <f>'⚙️ Scenario Matrix'!N8</f>
        <v/>
      </c>
    </row>
    <row r="16" ht="17" customHeight="1" s="28">
      <c r="B16" s="211">
        <f>'⚙️ Scenario Matrix'!B9</f>
        <v/>
      </c>
      <c r="C16" s="218">
        <f>'⚙️ Scenario Matrix'!C9</f>
        <v/>
      </c>
      <c r="D16" s="219">
        <f>'⚙️ Scenario Matrix'!E9</f>
        <v/>
      </c>
      <c r="E16" s="219">
        <f>'⚙️ Scenario Matrix'!H9</f>
        <v/>
      </c>
      <c r="F16" s="220">
        <f>'⚙️ Scenario Matrix'!F9</f>
        <v/>
      </c>
      <c r="G16" s="221">
        <f>'⚙️ Scenario Matrix'!I9</f>
        <v/>
      </c>
      <c r="H16" s="221">
        <f>'⚙️ Scenario Matrix'!J9</f>
        <v/>
      </c>
      <c r="I16" s="221">
        <f>'⚙️ Scenario Matrix'!K9</f>
        <v/>
      </c>
      <c r="J16" s="222">
        <f>'⚙️ Scenario Matrix'!L9</f>
        <v/>
      </c>
      <c r="K16" s="222">
        <f>'⚙️ Scenario Matrix'!M9</f>
        <v/>
      </c>
      <c r="L16" s="217">
        <f>'⚙️ Scenario Matrix'!N9</f>
        <v/>
      </c>
    </row>
    <row r="17" ht="17" customHeight="1" s="28">
      <c r="B17" s="204">
        <f>'⚙️ Scenario Matrix'!B10</f>
        <v/>
      </c>
      <c r="C17" s="205">
        <f>'⚙️ Scenario Matrix'!C10</f>
        <v/>
      </c>
      <c r="D17" s="206">
        <f>'⚙️ Scenario Matrix'!E10</f>
        <v/>
      </c>
      <c r="E17" s="206">
        <f>'⚙️ Scenario Matrix'!H10</f>
        <v/>
      </c>
      <c r="F17" s="207">
        <f>'⚙️ Scenario Matrix'!F10</f>
        <v/>
      </c>
      <c r="G17" s="208">
        <f>'⚙️ Scenario Matrix'!I10</f>
        <v/>
      </c>
      <c r="H17" s="208">
        <f>'⚙️ Scenario Matrix'!J10</f>
        <v/>
      </c>
      <c r="I17" s="208">
        <f>'⚙️ Scenario Matrix'!K10</f>
        <v/>
      </c>
      <c r="J17" s="209">
        <f>'⚙️ Scenario Matrix'!L10</f>
        <v/>
      </c>
      <c r="K17" s="209">
        <f>'⚙️ Scenario Matrix'!M10</f>
        <v/>
      </c>
      <c r="L17" s="210">
        <f>'⚙️ Scenario Matrix'!N10</f>
        <v/>
      </c>
    </row>
    <row r="18" ht="17" customHeight="1" s="28">
      <c r="B18" s="211">
        <f>'⚙️ Scenario Matrix'!B11</f>
        <v/>
      </c>
      <c r="C18" s="212">
        <f>'⚙️ Scenario Matrix'!C11</f>
        <v/>
      </c>
      <c r="D18" s="213">
        <f>'⚙️ Scenario Matrix'!E11</f>
        <v/>
      </c>
      <c r="E18" s="213">
        <f>'⚙️ Scenario Matrix'!H11</f>
        <v/>
      </c>
      <c r="F18" s="214">
        <f>'⚙️ Scenario Matrix'!F11</f>
        <v/>
      </c>
      <c r="G18" s="215">
        <f>'⚙️ Scenario Matrix'!I11</f>
        <v/>
      </c>
      <c r="H18" s="215">
        <f>'⚙️ Scenario Matrix'!J11</f>
        <v/>
      </c>
      <c r="I18" s="215">
        <f>'⚙️ Scenario Matrix'!K11</f>
        <v/>
      </c>
      <c r="J18" s="216">
        <f>'⚙️ Scenario Matrix'!L11</f>
        <v/>
      </c>
      <c r="K18" s="216">
        <f>'⚙️ Scenario Matrix'!M11</f>
        <v/>
      </c>
      <c r="L18" s="217">
        <f>'⚙️ Scenario Matrix'!N11</f>
        <v/>
      </c>
    </row>
    <row r="19" ht="17" customHeight="1" s="28">
      <c r="B19" s="211">
        <f>'⚙️ Scenario Matrix'!B12</f>
        <v/>
      </c>
      <c r="C19" s="218">
        <f>'⚙️ Scenario Matrix'!C12</f>
        <v/>
      </c>
      <c r="D19" s="219">
        <f>'⚙️ Scenario Matrix'!E12</f>
        <v/>
      </c>
      <c r="E19" s="219">
        <f>'⚙️ Scenario Matrix'!H12</f>
        <v/>
      </c>
      <c r="F19" s="220">
        <f>'⚙️ Scenario Matrix'!F12</f>
        <v/>
      </c>
      <c r="G19" s="221">
        <f>'⚙️ Scenario Matrix'!I12</f>
        <v/>
      </c>
      <c r="H19" s="221">
        <f>'⚙️ Scenario Matrix'!J12</f>
        <v/>
      </c>
      <c r="I19" s="221">
        <f>'⚙️ Scenario Matrix'!K12</f>
        <v/>
      </c>
      <c r="J19" s="222">
        <f>'⚙️ Scenario Matrix'!L12</f>
        <v/>
      </c>
      <c r="K19" s="222">
        <f>'⚙️ Scenario Matrix'!M12</f>
        <v/>
      </c>
      <c r="L19" s="217">
        <f>'⚙️ Scenario Matrix'!N12</f>
        <v/>
      </c>
    </row>
    <row r="20" ht="17" customHeight="1" s="28">
      <c r="B20" s="204">
        <f>'⚙️ Scenario Matrix'!B13</f>
        <v/>
      </c>
      <c r="C20" s="205">
        <f>'⚙️ Scenario Matrix'!C13</f>
        <v/>
      </c>
      <c r="D20" s="206">
        <f>'⚙️ Scenario Matrix'!E13</f>
        <v/>
      </c>
      <c r="E20" s="206">
        <f>'⚙️ Scenario Matrix'!H13</f>
        <v/>
      </c>
      <c r="F20" s="207">
        <f>'⚙️ Scenario Matrix'!F13</f>
        <v/>
      </c>
      <c r="G20" s="208">
        <f>'⚙️ Scenario Matrix'!I13</f>
        <v/>
      </c>
      <c r="H20" s="208">
        <f>'⚙️ Scenario Matrix'!J13</f>
        <v/>
      </c>
      <c r="I20" s="208">
        <f>'⚙️ Scenario Matrix'!K13</f>
        <v/>
      </c>
      <c r="J20" s="209">
        <f>'⚙️ Scenario Matrix'!L13</f>
        <v/>
      </c>
      <c r="K20" s="209">
        <f>'⚙️ Scenario Matrix'!M13</f>
        <v/>
      </c>
      <c r="L20" s="210">
        <f>'⚙️ Scenario Matrix'!N13</f>
        <v/>
      </c>
    </row>
    <row r="21" ht="17" customHeight="1" s="28">
      <c r="B21" s="211">
        <f>'⚙️ Scenario Matrix'!B14</f>
        <v/>
      </c>
      <c r="C21" s="212">
        <f>'⚙️ Scenario Matrix'!C14</f>
        <v/>
      </c>
      <c r="D21" s="213">
        <f>'⚙️ Scenario Matrix'!E14</f>
        <v/>
      </c>
      <c r="E21" s="213">
        <f>'⚙️ Scenario Matrix'!H14</f>
        <v/>
      </c>
      <c r="F21" s="214">
        <f>'⚙️ Scenario Matrix'!F14</f>
        <v/>
      </c>
      <c r="G21" s="215">
        <f>'⚙️ Scenario Matrix'!I14</f>
        <v/>
      </c>
      <c r="H21" s="215">
        <f>'⚙️ Scenario Matrix'!J14</f>
        <v/>
      </c>
      <c r="I21" s="215">
        <f>'⚙️ Scenario Matrix'!K14</f>
        <v/>
      </c>
      <c r="J21" s="216">
        <f>'⚙️ Scenario Matrix'!L14</f>
        <v/>
      </c>
      <c r="K21" s="216">
        <f>'⚙️ Scenario Matrix'!M14</f>
        <v/>
      </c>
      <c r="L21" s="217">
        <f>'⚙️ Scenario Matrix'!N14</f>
        <v/>
      </c>
    </row>
    <row r="22" ht="17" customHeight="1" s="28">
      <c r="B22" s="211">
        <f>'⚙️ Scenario Matrix'!B15</f>
        <v/>
      </c>
      <c r="C22" s="218">
        <f>'⚙️ Scenario Matrix'!C15</f>
        <v/>
      </c>
      <c r="D22" s="219">
        <f>'⚙️ Scenario Matrix'!E15</f>
        <v/>
      </c>
      <c r="E22" s="219">
        <f>'⚙️ Scenario Matrix'!H15</f>
        <v/>
      </c>
      <c r="F22" s="220">
        <f>'⚙️ Scenario Matrix'!F15</f>
        <v/>
      </c>
      <c r="G22" s="221">
        <f>'⚙️ Scenario Matrix'!I15</f>
        <v/>
      </c>
      <c r="H22" s="221">
        <f>'⚙️ Scenario Matrix'!J15</f>
        <v/>
      </c>
      <c r="I22" s="221">
        <f>'⚙️ Scenario Matrix'!K15</f>
        <v/>
      </c>
      <c r="J22" s="222">
        <f>'⚙️ Scenario Matrix'!L15</f>
        <v/>
      </c>
      <c r="K22" s="222">
        <f>'⚙️ Scenario Matrix'!M15</f>
        <v/>
      </c>
      <c r="L22" s="217">
        <f>'⚙️ Scenario Matrix'!N15</f>
        <v/>
      </c>
    </row>
    <row r="23" ht="17" customHeight="1" s="28">
      <c r="B23" s="204">
        <f>'⚙️ Scenario Matrix'!B16</f>
        <v/>
      </c>
      <c r="C23" s="205">
        <f>'⚙️ Scenario Matrix'!C16</f>
        <v/>
      </c>
      <c r="D23" s="206">
        <f>'⚙️ Scenario Matrix'!E16</f>
        <v/>
      </c>
      <c r="E23" s="206">
        <f>'⚙️ Scenario Matrix'!H16</f>
        <v/>
      </c>
      <c r="F23" s="207">
        <f>'⚙️ Scenario Matrix'!F16</f>
        <v/>
      </c>
      <c r="G23" s="208">
        <f>'⚙️ Scenario Matrix'!I16</f>
        <v/>
      </c>
      <c r="H23" s="208">
        <f>'⚙️ Scenario Matrix'!J16</f>
        <v/>
      </c>
      <c r="I23" s="208">
        <f>'⚙️ Scenario Matrix'!K16</f>
        <v/>
      </c>
      <c r="J23" s="209">
        <f>'⚙️ Scenario Matrix'!L16</f>
        <v/>
      </c>
      <c r="K23" s="209">
        <f>'⚙️ Scenario Matrix'!M16</f>
        <v/>
      </c>
      <c r="L23" s="210">
        <f>'⚙️ Scenario Matrix'!N16</f>
        <v/>
      </c>
    </row>
    <row r="24" ht="17" customHeight="1" s="28">
      <c r="B24" s="211">
        <f>'⚙️ Scenario Matrix'!B17</f>
        <v/>
      </c>
      <c r="C24" s="212">
        <f>'⚙️ Scenario Matrix'!C17</f>
        <v/>
      </c>
      <c r="D24" s="213">
        <f>'⚙️ Scenario Matrix'!E17</f>
        <v/>
      </c>
      <c r="E24" s="213">
        <f>'⚙️ Scenario Matrix'!H17</f>
        <v/>
      </c>
      <c r="F24" s="214">
        <f>'⚙️ Scenario Matrix'!F17</f>
        <v/>
      </c>
      <c r="G24" s="215">
        <f>'⚙️ Scenario Matrix'!I17</f>
        <v/>
      </c>
      <c r="H24" s="215">
        <f>'⚙️ Scenario Matrix'!J17</f>
        <v/>
      </c>
      <c r="I24" s="215">
        <f>'⚙️ Scenario Matrix'!K17</f>
        <v/>
      </c>
      <c r="J24" s="216">
        <f>'⚙️ Scenario Matrix'!L17</f>
        <v/>
      </c>
      <c r="K24" s="216">
        <f>'⚙️ Scenario Matrix'!M17</f>
        <v/>
      </c>
      <c r="L24" s="217">
        <f>'⚙️ Scenario Matrix'!N17</f>
        <v/>
      </c>
    </row>
    <row r="25" ht="17" customHeight="1" s="28">
      <c r="B25" s="211">
        <f>'⚙️ Scenario Matrix'!B18</f>
        <v/>
      </c>
      <c r="C25" s="218">
        <f>'⚙️ Scenario Matrix'!C18</f>
        <v/>
      </c>
      <c r="D25" s="219">
        <f>'⚙️ Scenario Matrix'!E18</f>
        <v/>
      </c>
      <c r="E25" s="219">
        <f>'⚙️ Scenario Matrix'!H18</f>
        <v/>
      </c>
      <c r="F25" s="220">
        <f>'⚙️ Scenario Matrix'!F18</f>
        <v/>
      </c>
      <c r="G25" s="221">
        <f>'⚙️ Scenario Matrix'!I18</f>
        <v/>
      </c>
      <c r="H25" s="221">
        <f>'⚙️ Scenario Matrix'!J18</f>
        <v/>
      </c>
      <c r="I25" s="221">
        <f>'⚙️ Scenario Matrix'!K18</f>
        <v/>
      </c>
      <c r="J25" s="222">
        <f>'⚙️ Scenario Matrix'!L18</f>
        <v/>
      </c>
      <c r="K25" s="222">
        <f>'⚙️ Scenario Matrix'!M18</f>
        <v/>
      </c>
      <c r="L25" s="217">
        <f>'⚙️ Scenario Matrix'!N18</f>
        <v/>
      </c>
    </row>
    <row r="26" ht="17" customHeight="1" s="28">
      <c r="B26" s="204">
        <f>'⚙️ Scenario Matrix'!B19</f>
        <v/>
      </c>
      <c r="C26" s="205">
        <f>'⚙️ Scenario Matrix'!C19</f>
        <v/>
      </c>
      <c r="D26" s="206">
        <f>'⚙️ Scenario Matrix'!E19</f>
        <v/>
      </c>
      <c r="E26" s="206">
        <f>'⚙️ Scenario Matrix'!H19</f>
        <v/>
      </c>
      <c r="F26" s="207">
        <f>'⚙️ Scenario Matrix'!F19</f>
        <v/>
      </c>
      <c r="G26" s="208">
        <f>'⚙️ Scenario Matrix'!I19</f>
        <v/>
      </c>
      <c r="H26" s="208">
        <f>'⚙️ Scenario Matrix'!J19</f>
        <v/>
      </c>
      <c r="I26" s="208">
        <f>'⚙️ Scenario Matrix'!K19</f>
        <v/>
      </c>
      <c r="J26" s="209">
        <f>'⚙️ Scenario Matrix'!L19</f>
        <v/>
      </c>
      <c r="K26" s="209">
        <f>'⚙️ Scenario Matrix'!M19</f>
        <v/>
      </c>
      <c r="L26" s="210">
        <f>'⚙️ Scenario Matrix'!N19</f>
        <v/>
      </c>
    </row>
    <row r="27" ht="17" customHeight="1" s="28">
      <c r="B27" s="211">
        <f>'⚙️ Scenario Matrix'!B20</f>
        <v/>
      </c>
      <c r="C27" s="212">
        <f>'⚙️ Scenario Matrix'!C20</f>
        <v/>
      </c>
      <c r="D27" s="213">
        <f>'⚙️ Scenario Matrix'!E20</f>
        <v/>
      </c>
      <c r="E27" s="213">
        <f>'⚙️ Scenario Matrix'!H20</f>
        <v/>
      </c>
      <c r="F27" s="214">
        <f>'⚙️ Scenario Matrix'!F20</f>
        <v/>
      </c>
      <c r="G27" s="215">
        <f>'⚙️ Scenario Matrix'!I20</f>
        <v/>
      </c>
      <c r="H27" s="215">
        <f>'⚙️ Scenario Matrix'!J20</f>
        <v/>
      </c>
      <c r="I27" s="215">
        <f>'⚙️ Scenario Matrix'!K20</f>
        <v/>
      </c>
      <c r="J27" s="216">
        <f>'⚙️ Scenario Matrix'!L20</f>
        <v/>
      </c>
      <c r="K27" s="216">
        <f>'⚙️ Scenario Matrix'!M20</f>
        <v/>
      </c>
      <c r="L27" s="217">
        <f>'⚙️ Scenario Matrix'!N20</f>
        <v/>
      </c>
    </row>
    <row r="28" ht="17" customHeight="1" s="28">
      <c r="B28" s="211">
        <f>'⚙️ Scenario Matrix'!B21</f>
        <v/>
      </c>
      <c r="C28" s="218">
        <f>'⚙️ Scenario Matrix'!C21</f>
        <v/>
      </c>
      <c r="D28" s="219">
        <f>'⚙️ Scenario Matrix'!E21</f>
        <v/>
      </c>
      <c r="E28" s="219">
        <f>'⚙️ Scenario Matrix'!H21</f>
        <v/>
      </c>
      <c r="F28" s="220">
        <f>'⚙️ Scenario Matrix'!F21</f>
        <v/>
      </c>
      <c r="G28" s="221">
        <f>'⚙️ Scenario Matrix'!I21</f>
        <v/>
      </c>
      <c r="H28" s="221">
        <f>'⚙️ Scenario Matrix'!J21</f>
        <v/>
      </c>
      <c r="I28" s="221">
        <f>'⚙️ Scenario Matrix'!K21</f>
        <v/>
      </c>
      <c r="J28" s="222">
        <f>'⚙️ Scenario Matrix'!L21</f>
        <v/>
      </c>
      <c r="K28" s="222">
        <f>'⚙️ Scenario Matrix'!M21</f>
        <v/>
      </c>
      <c r="L28" s="217">
        <f>'⚙️ Scenario Matrix'!N21</f>
        <v/>
      </c>
    </row>
    <row r="29" ht="17" customHeight="1" s="28">
      <c r="B29" s="204">
        <f>'⚙️ Scenario Matrix'!B22</f>
        <v/>
      </c>
      <c r="C29" s="205">
        <f>'⚙️ Scenario Matrix'!C22</f>
        <v/>
      </c>
      <c r="D29" s="206">
        <f>'⚙️ Scenario Matrix'!E22</f>
        <v/>
      </c>
      <c r="E29" s="206">
        <f>'⚙️ Scenario Matrix'!H22</f>
        <v/>
      </c>
      <c r="F29" s="207">
        <f>'⚙️ Scenario Matrix'!F22</f>
        <v/>
      </c>
      <c r="G29" s="208">
        <f>'⚙️ Scenario Matrix'!I22</f>
        <v/>
      </c>
      <c r="H29" s="208">
        <f>'⚙️ Scenario Matrix'!J22</f>
        <v/>
      </c>
      <c r="I29" s="208">
        <f>'⚙️ Scenario Matrix'!K22</f>
        <v/>
      </c>
      <c r="J29" s="209">
        <f>'⚙️ Scenario Matrix'!L22</f>
        <v/>
      </c>
      <c r="K29" s="209">
        <f>'⚙️ Scenario Matrix'!M22</f>
        <v/>
      </c>
      <c r="L29" s="210">
        <f>'⚙️ Scenario Matrix'!N22</f>
        <v/>
      </c>
    </row>
    <row r="30" ht="17" customHeight="1" s="28">
      <c r="B30" s="211">
        <f>'⚙️ Scenario Matrix'!B23</f>
        <v/>
      </c>
      <c r="C30" s="212">
        <f>'⚙️ Scenario Matrix'!C23</f>
        <v/>
      </c>
      <c r="D30" s="213">
        <f>'⚙️ Scenario Matrix'!E23</f>
        <v/>
      </c>
      <c r="E30" s="213">
        <f>'⚙️ Scenario Matrix'!H23</f>
        <v/>
      </c>
      <c r="F30" s="214">
        <f>'⚙️ Scenario Matrix'!F23</f>
        <v/>
      </c>
      <c r="G30" s="215">
        <f>'⚙️ Scenario Matrix'!I23</f>
        <v/>
      </c>
      <c r="H30" s="215">
        <f>'⚙️ Scenario Matrix'!J23</f>
        <v/>
      </c>
      <c r="I30" s="215">
        <f>'⚙️ Scenario Matrix'!K23</f>
        <v/>
      </c>
      <c r="J30" s="216">
        <f>'⚙️ Scenario Matrix'!L23</f>
        <v/>
      </c>
      <c r="K30" s="216">
        <f>'⚙️ Scenario Matrix'!M23</f>
        <v/>
      </c>
      <c r="L30" s="217">
        <f>'⚙️ Scenario Matrix'!N23</f>
        <v/>
      </c>
    </row>
    <row r="31" ht="17" customHeight="1" s="28">
      <c r="B31" s="211">
        <f>'⚙️ Scenario Matrix'!B24</f>
        <v/>
      </c>
      <c r="C31" s="218">
        <f>'⚙️ Scenario Matrix'!C24</f>
        <v/>
      </c>
      <c r="D31" s="219">
        <f>'⚙️ Scenario Matrix'!E24</f>
        <v/>
      </c>
      <c r="E31" s="219">
        <f>'⚙️ Scenario Matrix'!H24</f>
        <v/>
      </c>
      <c r="F31" s="220">
        <f>'⚙️ Scenario Matrix'!F24</f>
        <v/>
      </c>
      <c r="G31" s="221">
        <f>'⚙️ Scenario Matrix'!I24</f>
        <v/>
      </c>
      <c r="H31" s="221">
        <f>'⚙️ Scenario Matrix'!J24</f>
        <v/>
      </c>
      <c r="I31" s="221">
        <f>'⚙️ Scenario Matrix'!K24</f>
        <v/>
      </c>
      <c r="J31" s="222">
        <f>'⚙️ Scenario Matrix'!L24</f>
        <v/>
      </c>
      <c r="K31" s="222">
        <f>'⚙️ Scenario Matrix'!M24</f>
        <v/>
      </c>
      <c r="L31" s="217">
        <f>'⚙️ Scenario Matrix'!N24</f>
        <v/>
      </c>
    </row>
    <row r="32" ht="17" customHeight="1" s="28">
      <c r="B32" s="204">
        <f>'⚙️ Scenario Matrix'!B25</f>
        <v/>
      </c>
      <c r="C32" s="205">
        <f>'⚙️ Scenario Matrix'!C25</f>
        <v/>
      </c>
      <c r="D32" s="206">
        <f>'⚙️ Scenario Matrix'!E25</f>
        <v/>
      </c>
      <c r="E32" s="206">
        <f>'⚙️ Scenario Matrix'!H25</f>
        <v/>
      </c>
      <c r="F32" s="207">
        <f>'⚙️ Scenario Matrix'!F25</f>
        <v/>
      </c>
      <c r="G32" s="208">
        <f>'⚙️ Scenario Matrix'!I25</f>
        <v/>
      </c>
      <c r="H32" s="208">
        <f>'⚙️ Scenario Matrix'!J25</f>
        <v/>
      </c>
      <c r="I32" s="208">
        <f>'⚙️ Scenario Matrix'!K25</f>
        <v/>
      </c>
      <c r="J32" s="209">
        <f>'⚙️ Scenario Matrix'!L25</f>
        <v/>
      </c>
      <c r="K32" s="209">
        <f>'⚙️ Scenario Matrix'!M25</f>
        <v/>
      </c>
      <c r="L32" s="210">
        <f>'⚙️ Scenario Matrix'!N25</f>
        <v/>
      </c>
    </row>
    <row r="33" ht="17" customHeight="1" s="28">
      <c r="B33" s="211">
        <f>'⚙️ Scenario Matrix'!B26</f>
        <v/>
      </c>
      <c r="C33" s="212">
        <f>'⚙️ Scenario Matrix'!C26</f>
        <v/>
      </c>
      <c r="D33" s="213">
        <f>'⚙️ Scenario Matrix'!E26</f>
        <v/>
      </c>
      <c r="E33" s="213">
        <f>'⚙️ Scenario Matrix'!H26</f>
        <v/>
      </c>
      <c r="F33" s="214">
        <f>'⚙️ Scenario Matrix'!F26</f>
        <v/>
      </c>
      <c r="G33" s="215">
        <f>'⚙️ Scenario Matrix'!I26</f>
        <v/>
      </c>
      <c r="H33" s="215">
        <f>'⚙️ Scenario Matrix'!J26</f>
        <v/>
      </c>
      <c r="I33" s="215">
        <f>'⚙️ Scenario Matrix'!K26</f>
        <v/>
      </c>
      <c r="J33" s="216">
        <f>'⚙️ Scenario Matrix'!L26</f>
        <v/>
      </c>
      <c r="K33" s="216">
        <f>'⚙️ Scenario Matrix'!M26</f>
        <v/>
      </c>
      <c r="L33" s="217">
        <f>'⚙️ Scenario Matrix'!N26</f>
        <v/>
      </c>
    </row>
    <row r="34" ht="17" customHeight="1" s="28">
      <c r="B34" s="211">
        <f>'⚙️ Scenario Matrix'!B27</f>
        <v/>
      </c>
      <c r="C34" s="218">
        <f>'⚙️ Scenario Matrix'!C27</f>
        <v/>
      </c>
      <c r="D34" s="219">
        <f>'⚙️ Scenario Matrix'!E27</f>
        <v/>
      </c>
      <c r="E34" s="219">
        <f>'⚙️ Scenario Matrix'!H27</f>
        <v/>
      </c>
      <c r="F34" s="220">
        <f>'⚙️ Scenario Matrix'!F27</f>
        <v/>
      </c>
      <c r="G34" s="221">
        <f>'⚙️ Scenario Matrix'!I27</f>
        <v/>
      </c>
      <c r="H34" s="221">
        <f>'⚙️ Scenario Matrix'!J27</f>
        <v/>
      </c>
      <c r="I34" s="221">
        <f>'⚙️ Scenario Matrix'!K27</f>
        <v/>
      </c>
      <c r="J34" s="222">
        <f>'⚙️ Scenario Matrix'!L27</f>
        <v/>
      </c>
      <c r="K34" s="222">
        <f>'⚙️ Scenario Matrix'!M27</f>
        <v/>
      </c>
      <c r="L34" s="217">
        <f>'⚙️ Scenario Matrix'!N27</f>
        <v/>
      </c>
    </row>
    <row r="35" ht="17" customHeight="1" s="28">
      <c r="B35" s="204">
        <f>'⚙️ Scenario Matrix'!B28</f>
        <v/>
      </c>
      <c r="C35" s="205">
        <f>'⚙️ Scenario Matrix'!C28</f>
        <v/>
      </c>
      <c r="D35" s="206">
        <f>'⚙️ Scenario Matrix'!E28</f>
        <v/>
      </c>
      <c r="E35" s="206">
        <f>'⚙️ Scenario Matrix'!H28</f>
        <v/>
      </c>
      <c r="F35" s="207">
        <f>'⚙️ Scenario Matrix'!F28</f>
        <v/>
      </c>
      <c r="G35" s="208">
        <f>'⚙️ Scenario Matrix'!I28</f>
        <v/>
      </c>
      <c r="H35" s="208">
        <f>'⚙️ Scenario Matrix'!J28</f>
        <v/>
      </c>
      <c r="I35" s="208">
        <f>'⚙️ Scenario Matrix'!K28</f>
        <v/>
      </c>
      <c r="J35" s="209">
        <f>'⚙️ Scenario Matrix'!L28</f>
        <v/>
      </c>
      <c r="K35" s="209">
        <f>'⚙️ Scenario Matrix'!M28</f>
        <v/>
      </c>
      <c r="L35" s="210">
        <f>'⚙️ Scenario Matrix'!N28</f>
        <v/>
      </c>
    </row>
    <row r="36" ht="17" customHeight="1" s="28">
      <c r="B36" s="211">
        <f>'⚙️ Scenario Matrix'!B29</f>
        <v/>
      </c>
      <c r="C36" s="212">
        <f>'⚙️ Scenario Matrix'!C29</f>
        <v/>
      </c>
      <c r="D36" s="213">
        <f>'⚙️ Scenario Matrix'!E29</f>
        <v/>
      </c>
      <c r="E36" s="213">
        <f>'⚙️ Scenario Matrix'!H29</f>
        <v/>
      </c>
      <c r="F36" s="214">
        <f>'⚙️ Scenario Matrix'!F29</f>
        <v/>
      </c>
      <c r="G36" s="215">
        <f>'⚙️ Scenario Matrix'!I29</f>
        <v/>
      </c>
      <c r="H36" s="215">
        <f>'⚙️ Scenario Matrix'!J29</f>
        <v/>
      </c>
      <c r="I36" s="215">
        <f>'⚙️ Scenario Matrix'!K29</f>
        <v/>
      </c>
      <c r="J36" s="216">
        <f>'⚙️ Scenario Matrix'!L29</f>
        <v/>
      </c>
      <c r="K36" s="216">
        <f>'⚙️ Scenario Matrix'!M29</f>
        <v/>
      </c>
      <c r="L36" s="217">
        <f>'⚙️ Scenario Matrix'!N29</f>
        <v/>
      </c>
    </row>
    <row r="37" ht="17" customHeight="1" s="28">
      <c r="B37" s="211">
        <f>'⚙️ Scenario Matrix'!B30</f>
        <v/>
      </c>
      <c r="C37" s="218">
        <f>'⚙️ Scenario Matrix'!C30</f>
        <v/>
      </c>
      <c r="D37" s="219">
        <f>'⚙️ Scenario Matrix'!E30</f>
        <v/>
      </c>
      <c r="E37" s="219">
        <f>'⚙️ Scenario Matrix'!H30</f>
        <v/>
      </c>
      <c r="F37" s="220">
        <f>'⚙️ Scenario Matrix'!F30</f>
        <v/>
      </c>
      <c r="G37" s="221">
        <f>'⚙️ Scenario Matrix'!I30</f>
        <v/>
      </c>
      <c r="H37" s="221">
        <f>'⚙️ Scenario Matrix'!J30</f>
        <v/>
      </c>
      <c r="I37" s="221">
        <f>'⚙️ Scenario Matrix'!K30</f>
        <v/>
      </c>
      <c r="J37" s="222">
        <f>'⚙️ Scenario Matrix'!L30</f>
        <v/>
      </c>
      <c r="K37" s="222">
        <f>'⚙️ Scenario Matrix'!M30</f>
        <v/>
      </c>
      <c r="L37" s="217">
        <f>'⚙️ Scenario Matrix'!N30</f>
        <v/>
      </c>
    </row>
    <row r="38" ht="17" customHeight="1" s="28">
      <c r="B38" s="204">
        <f>'⚙️ Scenario Matrix'!B31</f>
        <v/>
      </c>
      <c r="C38" s="205">
        <f>'⚙️ Scenario Matrix'!C31</f>
        <v/>
      </c>
      <c r="D38" s="206">
        <f>'⚙️ Scenario Matrix'!E31</f>
        <v/>
      </c>
      <c r="E38" s="206">
        <f>'⚙️ Scenario Matrix'!H31</f>
        <v/>
      </c>
      <c r="F38" s="207">
        <f>'⚙️ Scenario Matrix'!F31</f>
        <v/>
      </c>
      <c r="G38" s="208">
        <f>'⚙️ Scenario Matrix'!I31</f>
        <v/>
      </c>
      <c r="H38" s="208">
        <f>'⚙️ Scenario Matrix'!J31</f>
        <v/>
      </c>
      <c r="I38" s="208">
        <f>'⚙️ Scenario Matrix'!K31</f>
        <v/>
      </c>
      <c r="J38" s="209">
        <f>'⚙️ Scenario Matrix'!L31</f>
        <v/>
      </c>
      <c r="K38" s="209">
        <f>'⚙️ Scenario Matrix'!M31</f>
        <v/>
      </c>
      <c r="L38" s="210">
        <f>'⚙️ Scenario Matrix'!N31</f>
        <v/>
      </c>
    </row>
    <row r="39" ht="17" customHeight="1" s="28">
      <c r="B39" s="211">
        <f>'⚙️ Scenario Matrix'!B32</f>
        <v/>
      </c>
      <c r="C39" s="212">
        <f>'⚙️ Scenario Matrix'!C32</f>
        <v/>
      </c>
      <c r="D39" s="213">
        <f>'⚙️ Scenario Matrix'!E32</f>
        <v/>
      </c>
      <c r="E39" s="213">
        <f>'⚙️ Scenario Matrix'!H32</f>
        <v/>
      </c>
      <c r="F39" s="214">
        <f>'⚙️ Scenario Matrix'!F32</f>
        <v/>
      </c>
      <c r="G39" s="215">
        <f>'⚙️ Scenario Matrix'!I32</f>
        <v/>
      </c>
      <c r="H39" s="215">
        <f>'⚙️ Scenario Matrix'!J32</f>
        <v/>
      </c>
      <c r="I39" s="215">
        <f>'⚙️ Scenario Matrix'!K32</f>
        <v/>
      </c>
      <c r="J39" s="216">
        <f>'⚙️ Scenario Matrix'!L32</f>
        <v/>
      </c>
      <c r="K39" s="216">
        <f>'⚙️ Scenario Matrix'!M32</f>
        <v/>
      </c>
      <c r="L39" s="217">
        <f>'⚙️ Scenario Matrix'!N32</f>
        <v/>
      </c>
    </row>
    <row r="40" ht="17" customHeight="1" s="28">
      <c r="B40" s="211">
        <f>'⚙️ Scenario Matrix'!B33</f>
        <v/>
      </c>
      <c r="C40" s="218">
        <f>'⚙️ Scenario Matrix'!C33</f>
        <v/>
      </c>
      <c r="D40" s="219">
        <f>'⚙️ Scenario Matrix'!E33</f>
        <v/>
      </c>
      <c r="E40" s="219">
        <f>'⚙️ Scenario Matrix'!H33</f>
        <v/>
      </c>
      <c r="F40" s="220">
        <f>'⚙️ Scenario Matrix'!F33</f>
        <v/>
      </c>
      <c r="G40" s="221">
        <f>'⚙️ Scenario Matrix'!I33</f>
        <v/>
      </c>
      <c r="H40" s="221">
        <f>'⚙️ Scenario Matrix'!J33</f>
        <v/>
      </c>
      <c r="I40" s="221">
        <f>'⚙️ Scenario Matrix'!K33</f>
        <v/>
      </c>
      <c r="J40" s="222">
        <f>'⚙️ Scenario Matrix'!L33</f>
        <v/>
      </c>
      <c r="K40" s="222">
        <f>'⚙️ Scenario Matrix'!M33</f>
        <v/>
      </c>
      <c r="L40" s="217">
        <f>'⚙️ Scenario Matrix'!N33</f>
        <v/>
      </c>
    </row>
    <row r="41" ht="17" customHeight="1" s="28">
      <c r="B41" s="204">
        <f>'⚙️ Scenario Matrix'!B34</f>
        <v/>
      </c>
      <c r="C41" s="205">
        <f>'⚙️ Scenario Matrix'!C34</f>
        <v/>
      </c>
      <c r="D41" s="206">
        <f>'⚙️ Scenario Matrix'!E34</f>
        <v/>
      </c>
      <c r="E41" s="206">
        <f>'⚙️ Scenario Matrix'!H34</f>
        <v/>
      </c>
      <c r="F41" s="207">
        <f>'⚙️ Scenario Matrix'!F34</f>
        <v/>
      </c>
      <c r="G41" s="208">
        <f>'⚙️ Scenario Matrix'!I34</f>
        <v/>
      </c>
      <c r="H41" s="208">
        <f>'⚙️ Scenario Matrix'!J34</f>
        <v/>
      </c>
      <c r="I41" s="208">
        <f>'⚙️ Scenario Matrix'!K34</f>
        <v/>
      </c>
      <c r="J41" s="209">
        <f>'⚙️ Scenario Matrix'!L34</f>
        <v/>
      </c>
      <c r="K41" s="209">
        <f>'⚙️ Scenario Matrix'!M34</f>
        <v/>
      </c>
      <c r="L41" s="210">
        <f>'⚙️ Scenario Matrix'!N34</f>
        <v/>
      </c>
    </row>
    <row r="42" ht="17" customHeight="1" s="28">
      <c r="B42" s="211">
        <f>'⚙️ Scenario Matrix'!B35</f>
        <v/>
      </c>
      <c r="C42" s="212">
        <f>'⚙️ Scenario Matrix'!C35</f>
        <v/>
      </c>
      <c r="D42" s="213">
        <f>'⚙️ Scenario Matrix'!E35</f>
        <v/>
      </c>
      <c r="E42" s="213">
        <f>'⚙️ Scenario Matrix'!H35</f>
        <v/>
      </c>
      <c r="F42" s="214">
        <f>'⚙️ Scenario Matrix'!F35</f>
        <v/>
      </c>
      <c r="G42" s="215">
        <f>'⚙️ Scenario Matrix'!I35</f>
        <v/>
      </c>
      <c r="H42" s="215">
        <f>'⚙️ Scenario Matrix'!J35</f>
        <v/>
      </c>
      <c r="I42" s="215">
        <f>'⚙️ Scenario Matrix'!K35</f>
        <v/>
      </c>
      <c r="J42" s="216">
        <f>'⚙️ Scenario Matrix'!L35</f>
        <v/>
      </c>
      <c r="K42" s="216">
        <f>'⚙️ Scenario Matrix'!M35</f>
        <v/>
      </c>
      <c r="L42" s="217">
        <f>'⚙️ Scenario Matrix'!N35</f>
        <v/>
      </c>
    </row>
    <row r="43" ht="17" customHeight="1" s="28">
      <c r="B43" s="211">
        <f>'⚙️ Scenario Matrix'!B36</f>
        <v/>
      </c>
      <c r="C43" s="218">
        <f>'⚙️ Scenario Matrix'!C36</f>
        <v/>
      </c>
      <c r="D43" s="219">
        <f>'⚙️ Scenario Matrix'!E36</f>
        <v/>
      </c>
      <c r="E43" s="219">
        <f>'⚙️ Scenario Matrix'!H36</f>
        <v/>
      </c>
      <c r="F43" s="220">
        <f>'⚙️ Scenario Matrix'!F36</f>
        <v/>
      </c>
      <c r="G43" s="221">
        <f>'⚙️ Scenario Matrix'!I36</f>
        <v/>
      </c>
      <c r="H43" s="221">
        <f>'⚙️ Scenario Matrix'!J36</f>
        <v/>
      </c>
      <c r="I43" s="221">
        <f>'⚙️ Scenario Matrix'!K36</f>
        <v/>
      </c>
      <c r="J43" s="222">
        <f>'⚙️ Scenario Matrix'!L36</f>
        <v/>
      </c>
      <c r="K43" s="222">
        <f>'⚙️ Scenario Matrix'!M36</f>
        <v/>
      </c>
      <c r="L43" s="217">
        <f>'⚙️ Scenario Matrix'!N36</f>
        <v/>
      </c>
    </row>
    <row r="44" ht="17" customHeight="1" s="28">
      <c r="B44" s="204">
        <f>'⚙️ Scenario Matrix'!B37</f>
        <v/>
      </c>
      <c r="C44" s="205">
        <f>'⚙️ Scenario Matrix'!C37</f>
        <v/>
      </c>
      <c r="D44" s="206">
        <f>'⚙️ Scenario Matrix'!E37</f>
        <v/>
      </c>
      <c r="E44" s="206">
        <f>'⚙️ Scenario Matrix'!H37</f>
        <v/>
      </c>
      <c r="F44" s="207">
        <f>'⚙️ Scenario Matrix'!F37</f>
        <v/>
      </c>
      <c r="G44" s="208">
        <f>'⚙️ Scenario Matrix'!I37</f>
        <v/>
      </c>
      <c r="H44" s="208">
        <f>'⚙️ Scenario Matrix'!J37</f>
        <v/>
      </c>
      <c r="I44" s="208">
        <f>'⚙️ Scenario Matrix'!K37</f>
        <v/>
      </c>
      <c r="J44" s="209">
        <f>'⚙️ Scenario Matrix'!L37</f>
        <v/>
      </c>
      <c r="K44" s="209">
        <f>'⚙️ Scenario Matrix'!M37</f>
        <v/>
      </c>
      <c r="L44" s="210">
        <f>'⚙️ Scenario Matrix'!N37</f>
        <v/>
      </c>
    </row>
    <row r="45" ht="17" customHeight="1" s="28">
      <c r="B45" s="211">
        <f>'⚙️ Scenario Matrix'!B38</f>
        <v/>
      </c>
      <c r="C45" s="212">
        <f>'⚙️ Scenario Matrix'!C38</f>
        <v/>
      </c>
      <c r="D45" s="213">
        <f>'⚙️ Scenario Matrix'!E38</f>
        <v/>
      </c>
      <c r="E45" s="213">
        <f>'⚙️ Scenario Matrix'!H38</f>
        <v/>
      </c>
      <c r="F45" s="214">
        <f>'⚙️ Scenario Matrix'!F38</f>
        <v/>
      </c>
      <c r="G45" s="215">
        <f>'⚙️ Scenario Matrix'!I38</f>
        <v/>
      </c>
      <c r="H45" s="215">
        <f>'⚙️ Scenario Matrix'!J38</f>
        <v/>
      </c>
      <c r="I45" s="215">
        <f>'⚙️ Scenario Matrix'!K38</f>
        <v/>
      </c>
      <c r="J45" s="216">
        <f>'⚙️ Scenario Matrix'!L38</f>
        <v/>
      </c>
      <c r="K45" s="216">
        <f>'⚙️ Scenario Matrix'!M38</f>
        <v/>
      </c>
      <c r="L45" s="217">
        <f>'⚙️ Scenario Matrix'!N38</f>
        <v/>
      </c>
    </row>
    <row r="46" ht="17" customHeight="1" s="28">
      <c r="B46" s="211">
        <f>'⚙️ Scenario Matrix'!B39</f>
        <v/>
      </c>
      <c r="C46" s="218">
        <f>'⚙️ Scenario Matrix'!C39</f>
        <v/>
      </c>
      <c r="D46" s="219">
        <f>'⚙️ Scenario Matrix'!E39</f>
        <v/>
      </c>
      <c r="E46" s="219">
        <f>'⚙️ Scenario Matrix'!H39</f>
        <v/>
      </c>
      <c r="F46" s="220">
        <f>'⚙️ Scenario Matrix'!F39</f>
        <v/>
      </c>
      <c r="G46" s="221">
        <f>'⚙️ Scenario Matrix'!I39</f>
        <v/>
      </c>
      <c r="H46" s="221">
        <f>'⚙️ Scenario Matrix'!J39</f>
        <v/>
      </c>
      <c r="I46" s="221">
        <f>'⚙️ Scenario Matrix'!K39</f>
        <v/>
      </c>
      <c r="J46" s="222">
        <f>'⚙️ Scenario Matrix'!L39</f>
        <v/>
      </c>
      <c r="K46" s="222">
        <f>'⚙️ Scenario Matrix'!M39</f>
        <v/>
      </c>
      <c r="L46" s="217">
        <f>'⚙️ Scenario Matrix'!N39</f>
        <v/>
      </c>
    </row>
    <row r="47" ht="17" customHeight="1" s="28">
      <c r="B47" s="204">
        <f>'⚙️ Scenario Matrix'!B40</f>
        <v/>
      </c>
      <c r="C47" s="205">
        <f>'⚙️ Scenario Matrix'!C40</f>
        <v/>
      </c>
      <c r="D47" s="206">
        <f>'⚙️ Scenario Matrix'!E40</f>
        <v/>
      </c>
      <c r="E47" s="206">
        <f>'⚙️ Scenario Matrix'!H40</f>
        <v/>
      </c>
      <c r="F47" s="207">
        <f>'⚙️ Scenario Matrix'!F40</f>
        <v/>
      </c>
      <c r="G47" s="208">
        <f>'⚙️ Scenario Matrix'!I40</f>
        <v/>
      </c>
      <c r="H47" s="208">
        <f>'⚙️ Scenario Matrix'!J40</f>
        <v/>
      </c>
      <c r="I47" s="208">
        <f>'⚙️ Scenario Matrix'!K40</f>
        <v/>
      </c>
      <c r="J47" s="209">
        <f>'⚙️ Scenario Matrix'!L40</f>
        <v/>
      </c>
      <c r="K47" s="209">
        <f>'⚙️ Scenario Matrix'!M40</f>
        <v/>
      </c>
      <c r="L47" s="210">
        <f>'⚙️ Scenario Matrix'!N40</f>
        <v/>
      </c>
    </row>
    <row r="48" ht="17" customHeight="1" s="28">
      <c r="B48" s="211">
        <f>'⚙️ Scenario Matrix'!B41</f>
        <v/>
      </c>
      <c r="C48" s="212">
        <f>'⚙️ Scenario Matrix'!C41</f>
        <v/>
      </c>
      <c r="D48" s="213">
        <f>'⚙️ Scenario Matrix'!E41</f>
        <v/>
      </c>
      <c r="E48" s="213">
        <f>'⚙️ Scenario Matrix'!H41</f>
        <v/>
      </c>
      <c r="F48" s="214">
        <f>'⚙️ Scenario Matrix'!F41</f>
        <v/>
      </c>
      <c r="G48" s="215">
        <f>'⚙️ Scenario Matrix'!I41</f>
        <v/>
      </c>
      <c r="H48" s="215">
        <f>'⚙️ Scenario Matrix'!J41</f>
        <v/>
      </c>
      <c r="I48" s="215">
        <f>'⚙️ Scenario Matrix'!K41</f>
        <v/>
      </c>
      <c r="J48" s="216">
        <f>'⚙️ Scenario Matrix'!L41</f>
        <v/>
      </c>
      <c r="K48" s="216">
        <f>'⚙️ Scenario Matrix'!M41</f>
        <v/>
      </c>
      <c r="L48" s="217">
        <f>'⚙️ Scenario Matrix'!N41</f>
        <v/>
      </c>
    </row>
    <row r="49" ht="17" customHeight="1" s="28">
      <c r="B49" s="211">
        <f>'⚙️ Scenario Matrix'!B42</f>
        <v/>
      </c>
      <c r="C49" s="218">
        <f>'⚙️ Scenario Matrix'!C42</f>
        <v/>
      </c>
      <c r="D49" s="219">
        <f>'⚙️ Scenario Matrix'!E42</f>
        <v/>
      </c>
      <c r="E49" s="219">
        <f>'⚙️ Scenario Matrix'!H42</f>
        <v/>
      </c>
      <c r="F49" s="220">
        <f>'⚙️ Scenario Matrix'!F42</f>
        <v/>
      </c>
      <c r="G49" s="221">
        <f>'⚙️ Scenario Matrix'!I42</f>
        <v/>
      </c>
      <c r="H49" s="221">
        <f>'⚙️ Scenario Matrix'!J42</f>
        <v/>
      </c>
      <c r="I49" s="221">
        <f>'⚙️ Scenario Matrix'!K42</f>
        <v/>
      </c>
      <c r="J49" s="222">
        <f>'⚙️ Scenario Matrix'!L42</f>
        <v/>
      </c>
      <c r="K49" s="222">
        <f>'⚙️ Scenario Matrix'!M42</f>
        <v/>
      </c>
      <c r="L49" s="217">
        <f>'⚙️ Scenario Matrix'!N42</f>
        <v/>
      </c>
    </row>
    <row r="50" ht="17" customHeight="1" s="28">
      <c r="B50" s="204">
        <f>'⚙️ Scenario Matrix'!B43</f>
        <v/>
      </c>
      <c r="C50" s="205">
        <f>'⚙️ Scenario Matrix'!C43</f>
        <v/>
      </c>
      <c r="D50" s="206">
        <f>'⚙️ Scenario Matrix'!E43</f>
        <v/>
      </c>
      <c r="E50" s="206">
        <f>'⚙️ Scenario Matrix'!H43</f>
        <v/>
      </c>
      <c r="F50" s="207">
        <f>'⚙️ Scenario Matrix'!F43</f>
        <v/>
      </c>
      <c r="G50" s="208">
        <f>'⚙️ Scenario Matrix'!I43</f>
        <v/>
      </c>
      <c r="H50" s="208">
        <f>'⚙️ Scenario Matrix'!J43</f>
        <v/>
      </c>
      <c r="I50" s="208">
        <f>'⚙️ Scenario Matrix'!K43</f>
        <v/>
      </c>
      <c r="J50" s="209">
        <f>'⚙️ Scenario Matrix'!L43</f>
        <v/>
      </c>
      <c r="K50" s="209">
        <f>'⚙️ Scenario Matrix'!M43</f>
        <v/>
      </c>
      <c r="L50" s="210">
        <f>'⚙️ Scenario Matrix'!N43</f>
        <v/>
      </c>
    </row>
    <row r="51" ht="17" customHeight="1" s="28">
      <c r="B51" s="211">
        <f>'⚙️ Scenario Matrix'!B44</f>
        <v/>
      </c>
      <c r="C51" s="212">
        <f>'⚙️ Scenario Matrix'!C44</f>
        <v/>
      </c>
      <c r="D51" s="213">
        <f>'⚙️ Scenario Matrix'!E44</f>
        <v/>
      </c>
      <c r="E51" s="213">
        <f>'⚙️ Scenario Matrix'!H44</f>
        <v/>
      </c>
      <c r="F51" s="214">
        <f>'⚙️ Scenario Matrix'!F44</f>
        <v/>
      </c>
      <c r="G51" s="215">
        <f>'⚙️ Scenario Matrix'!I44</f>
        <v/>
      </c>
      <c r="H51" s="215">
        <f>'⚙️ Scenario Matrix'!J44</f>
        <v/>
      </c>
      <c r="I51" s="215">
        <f>'⚙️ Scenario Matrix'!K44</f>
        <v/>
      </c>
      <c r="J51" s="216">
        <f>'⚙️ Scenario Matrix'!L44</f>
        <v/>
      </c>
      <c r="K51" s="216">
        <f>'⚙️ Scenario Matrix'!M44</f>
        <v/>
      </c>
      <c r="L51" s="217">
        <f>'⚙️ Scenario Matrix'!N44</f>
        <v/>
      </c>
    </row>
    <row r="52" ht="17" customHeight="1" s="28">
      <c r="B52" s="211">
        <f>'⚙️ Scenario Matrix'!B45</f>
        <v/>
      </c>
      <c r="C52" s="218">
        <f>'⚙️ Scenario Matrix'!C45</f>
        <v/>
      </c>
      <c r="D52" s="219">
        <f>'⚙️ Scenario Matrix'!E45</f>
        <v/>
      </c>
      <c r="E52" s="219">
        <f>'⚙️ Scenario Matrix'!H45</f>
        <v/>
      </c>
      <c r="F52" s="220">
        <f>'⚙️ Scenario Matrix'!F45</f>
        <v/>
      </c>
      <c r="G52" s="221">
        <f>'⚙️ Scenario Matrix'!I45</f>
        <v/>
      </c>
      <c r="H52" s="221">
        <f>'⚙️ Scenario Matrix'!J45</f>
        <v/>
      </c>
      <c r="I52" s="221">
        <f>'⚙️ Scenario Matrix'!K45</f>
        <v/>
      </c>
      <c r="J52" s="222">
        <f>'⚙️ Scenario Matrix'!L45</f>
        <v/>
      </c>
      <c r="K52" s="222">
        <f>'⚙️ Scenario Matrix'!M45</f>
        <v/>
      </c>
      <c r="L52" s="217">
        <f>'⚙️ Scenario Matrix'!N45</f>
        <v/>
      </c>
    </row>
    <row r="53" ht="17" customHeight="1" s="28">
      <c r="B53" s="204">
        <f>'⚙️ Scenario Matrix'!B46</f>
        <v/>
      </c>
      <c r="C53" s="205">
        <f>'⚙️ Scenario Matrix'!C46</f>
        <v/>
      </c>
      <c r="D53" s="206">
        <f>'⚙️ Scenario Matrix'!E46</f>
        <v/>
      </c>
      <c r="E53" s="206">
        <f>'⚙️ Scenario Matrix'!H46</f>
        <v/>
      </c>
      <c r="F53" s="207">
        <f>'⚙️ Scenario Matrix'!F46</f>
        <v/>
      </c>
      <c r="G53" s="208">
        <f>'⚙️ Scenario Matrix'!I46</f>
        <v/>
      </c>
      <c r="H53" s="208">
        <f>'⚙️ Scenario Matrix'!J46</f>
        <v/>
      </c>
      <c r="I53" s="208">
        <f>'⚙️ Scenario Matrix'!K46</f>
        <v/>
      </c>
      <c r="J53" s="209">
        <f>'⚙️ Scenario Matrix'!L46</f>
        <v/>
      </c>
      <c r="K53" s="209">
        <f>'⚙️ Scenario Matrix'!M46</f>
        <v/>
      </c>
      <c r="L53" s="210">
        <f>'⚙️ Scenario Matrix'!N46</f>
        <v/>
      </c>
    </row>
    <row r="54" ht="17" customHeight="1" s="28">
      <c r="B54" s="211">
        <f>'⚙️ Scenario Matrix'!B47</f>
        <v/>
      </c>
      <c r="C54" s="212">
        <f>'⚙️ Scenario Matrix'!C47</f>
        <v/>
      </c>
      <c r="D54" s="213">
        <f>'⚙️ Scenario Matrix'!E47</f>
        <v/>
      </c>
      <c r="E54" s="213">
        <f>'⚙️ Scenario Matrix'!H47</f>
        <v/>
      </c>
      <c r="F54" s="214">
        <f>'⚙️ Scenario Matrix'!F47</f>
        <v/>
      </c>
      <c r="G54" s="215">
        <f>'⚙️ Scenario Matrix'!I47</f>
        <v/>
      </c>
      <c r="H54" s="215">
        <f>'⚙️ Scenario Matrix'!J47</f>
        <v/>
      </c>
      <c r="I54" s="215">
        <f>'⚙️ Scenario Matrix'!K47</f>
        <v/>
      </c>
      <c r="J54" s="216">
        <f>'⚙️ Scenario Matrix'!L47</f>
        <v/>
      </c>
      <c r="K54" s="216">
        <f>'⚙️ Scenario Matrix'!M47</f>
        <v/>
      </c>
      <c r="L54" s="217">
        <f>'⚙️ Scenario Matrix'!N47</f>
        <v/>
      </c>
    </row>
    <row r="55" ht="17" customHeight="1" s="28">
      <c r="B55" s="211">
        <f>'⚙️ Scenario Matrix'!B48</f>
        <v/>
      </c>
      <c r="C55" s="218">
        <f>'⚙️ Scenario Matrix'!C48</f>
        <v/>
      </c>
      <c r="D55" s="219">
        <f>'⚙️ Scenario Matrix'!E48</f>
        <v/>
      </c>
      <c r="E55" s="219">
        <f>'⚙️ Scenario Matrix'!H48</f>
        <v/>
      </c>
      <c r="F55" s="220">
        <f>'⚙️ Scenario Matrix'!F48</f>
        <v/>
      </c>
      <c r="G55" s="221">
        <f>'⚙️ Scenario Matrix'!I48</f>
        <v/>
      </c>
      <c r="H55" s="221">
        <f>'⚙️ Scenario Matrix'!J48</f>
        <v/>
      </c>
      <c r="I55" s="221">
        <f>'⚙️ Scenario Matrix'!K48</f>
        <v/>
      </c>
      <c r="J55" s="222">
        <f>'⚙️ Scenario Matrix'!L48</f>
        <v/>
      </c>
      <c r="K55" s="222">
        <f>'⚙️ Scenario Matrix'!M48</f>
        <v/>
      </c>
      <c r="L55" s="217">
        <f>'⚙️ Scenario Matrix'!N48</f>
        <v/>
      </c>
    </row>
    <row r="56" ht="17" customHeight="1" s="28">
      <c r="B56" s="204">
        <f>'⚙️ Scenario Matrix'!B49</f>
        <v/>
      </c>
      <c r="C56" s="205">
        <f>'⚙️ Scenario Matrix'!C49</f>
        <v/>
      </c>
      <c r="D56" s="206">
        <f>'⚙️ Scenario Matrix'!E49</f>
        <v/>
      </c>
      <c r="E56" s="206">
        <f>'⚙️ Scenario Matrix'!H49</f>
        <v/>
      </c>
      <c r="F56" s="207">
        <f>'⚙️ Scenario Matrix'!F49</f>
        <v/>
      </c>
      <c r="G56" s="208">
        <f>'⚙️ Scenario Matrix'!I49</f>
        <v/>
      </c>
      <c r="H56" s="208">
        <f>'⚙️ Scenario Matrix'!J49</f>
        <v/>
      </c>
      <c r="I56" s="208">
        <f>'⚙️ Scenario Matrix'!K49</f>
        <v/>
      </c>
      <c r="J56" s="209">
        <f>'⚙️ Scenario Matrix'!L49</f>
        <v/>
      </c>
      <c r="K56" s="209">
        <f>'⚙️ Scenario Matrix'!M49</f>
        <v/>
      </c>
      <c r="L56" s="210">
        <f>'⚙️ Scenario Matrix'!N49</f>
        <v/>
      </c>
    </row>
    <row r="57" ht="17" customHeight="1" s="28">
      <c r="B57" s="211">
        <f>'⚙️ Scenario Matrix'!B50</f>
        <v/>
      </c>
      <c r="C57" s="212">
        <f>'⚙️ Scenario Matrix'!C50</f>
        <v/>
      </c>
      <c r="D57" s="213">
        <f>'⚙️ Scenario Matrix'!E50</f>
        <v/>
      </c>
      <c r="E57" s="213">
        <f>'⚙️ Scenario Matrix'!H50</f>
        <v/>
      </c>
      <c r="F57" s="214">
        <f>'⚙️ Scenario Matrix'!F50</f>
        <v/>
      </c>
      <c r="G57" s="215">
        <f>'⚙️ Scenario Matrix'!I50</f>
        <v/>
      </c>
      <c r="H57" s="215">
        <f>'⚙️ Scenario Matrix'!J50</f>
        <v/>
      </c>
      <c r="I57" s="215">
        <f>'⚙️ Scenario Matrix'!K50</f>
        <v/>
      </c>
      <c r="J57" s="216">
        <f>'⚙️ Scenario Matrix'!L50</f>
        <v/>
      </c>
      <c r="K57" s="216">
        <f>'⚙️ Scenario Matrix'!M50</f>
        <v/>
      </c>
      <c r="L57" s="217">
        <f>'⚙️ Scenario Matrix'!N50</f>
        <v/>
      </c>
    </row>
    <row r="58" ht="17" customHeight="1" s="28">
      <c r="B58" s="211">
        <f>'⚙️ Scenario Matrix'!B51</f>
        <v/>
      </c>
      <c r="C58" s="218">
        <f>'⚙️ Scenario Matrix'!C51</f>
        <v/>
      </c>
      <c r="D58" s="219">
        <f>'⚙️ Scenario Matrix'!E51</f>
        <v/>
      </c>
      <c r="E58" s="219">
        <f>'⚙️ Scenario Matrix'!H51</f>
        <v/>
      </c>
      <c r="F58" s="220">
        <f>'⚙️ Scenario Matrix'!F51</f>
        <v/>
      </c>
      <c r="G58" s="221">
        <f>'⚙️ Scenario Matrix'!I51</f>
        <v/>
      </c>
      <c r="H58" s="221">
        <f>'⚙️ Scenario Matrix'!J51</f>
        <v/>
      </c>
      <c r="I58" s="221">
        <f>'⚙️ Scenario Matrix'!K51</f>
        <v/>
      </c>
      <c r="J58" s="222">
        <f>'⚙️ Scenario Matrix'!L51</f>
        <v/>
      </c>
      <c r="K58" s="222">
        <f>'⚙️ Scenario Matrix'!M51</f>
        <v/>
      </c>
      <c r="L58" s="217">
        <f>'⚙️ Scenario Matrix'!N51</f>
        <v/>
      </c>
    </row>
    <row r="59" ht="17" customHeight="1" s="28">
      <c r="B59" s="204">
        <f>'⚙️ Scenario Matrix'!B52</f>
        <v/>
      </c>
      <c r="C59" s="205">
        <f>'⚙️ Scenario Matrix'!C52</f>
        <v/>
      </c>
      <c r="D59" s="206">
        <f>'⚙️ Scenario Matrix'!E52</f>
        <v/>
      </c>
      <c r="E59" s="206">
        <f>'⚙️ Scenario Matrix'!H52</f>
        <v/>
      </c>
      <c r="F59" s="207">
        <f>'⚙️ Scenario Matrix'!F52</f>
        <v/>
      </c>
      <c r="G59" s="208">
        <f>'⚙️ Scenario Matrix'!I52</f>
        <v/>
      </c>
      <c r="H59" s="208">
        <f>'⚙️ Scenario Matrix'!J52</f>
        <v/>
      </c>
      <c r="I59" s="208">
        <f>'⚙️ Scenario Matrix'!K52</f>
        <v/>
      </c>
      <c r="J59" s="209">
        <f>'⚙️ Scenario Matrix'!L52</f>
        <v/>
      </c>
      <c r="K59" s="209">
        <f>'⚙️ Scenario Matrix'!M52</f>
        <v/>
      </c>
      <c r="L59" s="210">
        <f>'⚙️ Scenario Matrix'!N52</f>
        <v/>
      </c>
    </row>
    <row r="60" ht="17" customHeight="1" s="28">
      <c r="B60" s="211">
        <f>'⚙️ Scenario Matrix'!B53</f>
        <v/>
      </c>
      <c r="C60" s="212">
        <f>'⚙️ Scenario Matrix'!C53</f>
        <v/>
      </c>
      <c r="D60" s="213">
        <f>'⚙️ Scenario Matrix'!E53</f>
        <v/>
      </c>
      <c r="E60" s="213">
        <f>'⚙️ Scenario Matrix'!H53</f>
        <v/>
      </c>
      <c r="F60" s="214">
        <f>'⚙️ Scenario Matrix'!F53</f>
        <v/>
      </c>
      <c r="G60" s="215">
        <f>'⚙️ Scenario Matrix'!I53</f>
        <v/>
      </c>
      <c r="H60" s="215">
        <f>'⚙️ Scenario Matrix'!J53</f>
        <v/>
      </c>
      <c r="I60" s="215">
        <f>'⚙️ Scenario Matrix'!K53</f>
        <v/>
      </c>
      <c r="J60" s="216">
        <f>'⚙️ Scenario Matrix'!L53</f>
        <v/>
      </c>
      <c r="K60" s="216">
        <f>'⚙️ Scenario Matrix'!M53</f>
        <v/>
      </c>
      <c r="L60" s="217">
        <f>'⚙️ Scenario Matrix'!N53</f>
        <v/>
      </c>
    </row>
    <row r="61" ht="17" customHeight="1" s="28">
      <c r="B61" s="211">
        <f>'⚙️ Scenario Matrix'!B54</f>
        <v/>
      </c>
      <c r="C61" s="218">
        <f>'⚙️ Scenario Matrix'!C54</f>
        <v/>
      </c>
      <c r="D61" s="219">
        <f>'⚙️ Scenario Matrix'!E54</f>
        <v/>
      </c>
      <c r="E61" s="219">
        <f>'⚙️ Scenario Matrix'!H54</f>
        <v/>
      </c>
      <c r="F61" s="220">
        <f>'⚙️ Scenario Matrix'!F54</f>
        <v/>
      </c>
      <c r="G61" s="221">
        <f>'⚙️ Scenario Matrix'!I54</f>
        <v/>
      </c>
      <c r="H61" s="221">
        <f>'⚙️ Scenario Matrix'!J54</f>
        <v/>
      </c>
      <c r="I61" s="221">
        <f>'⚙️ Scenario Matrix'!K54</f>
        <v/>
      </c>
      <c r="J61" s="222">
        <f>'⚙️ Scenario Matrix'!L54</f>
        <v/>
      </c>
      <c r="K61" s="222">
        <f>'⚙️ Scenario Matrix'!M54</f>
        <v/>
      </c>
      <c r="L61" s="217">
        <f>'⚙️ Scenario Matrix'!N54</f>
        <v/>
      </c>
    </row>
    <row r="62" ht="17" customHeight="1" s="28">
      <c r="B62" s="204">
        <f>'⚙️ Scenario Matrix'!B55</f>
        <v/>
      </c>
      <c r="C62" s="205">
        <f>'⚙️ Scenario Matrix'!C55</f>
        <v/>
      </c>
      <c r="D62" s="206">
        <f>'⚙️ Scenario Matrix'!E55</f>
        <v/>
      </c>
      <c r="E62" s="206">
        <f>'⚙️ Scenario Matrix'!H55</f>
        <v/>
      </c>
      <c r="F62" s="207">
        <f>'⚙️ Scenario Matrix'!F55</f>
        <v/>
      </c>
      <c r="G62" s="208">
        <f>'⚙️ Scenario Matrix'!I55</f>
        <v/>
      </c>
      <c r="H62" s="208">
        <f>'⚙️ Scenario Matrix'!J55</f>
        <v/>
      </c>
      <c r="I62" s="208">
        <f>'⚙️ Scenario Matrix'!K55</f>
        <v/>
      </c>
      <c r="J62" s="209">
        <f>'⚙️ Scenario Matrix'!L55</f>
        <v/>
      </c>
      <c r="K62" s="209">
        <f>'⚙️ Scenario Matrix'!M55</f>
        <v/>
      </c>
      <c r="L62" s="210">
        <f>'⚙️ Scenario Matrix'!N55</f>
        <v/>
      </c>
    </row>
    <row r="63" ht="17" customHeight="1" s="28">
      <c r="B63" s="211">
        <f>'⚙️ Scenario Matrix'!B56</f>
        <v/>
      </c>
      <c r="C63" s="212">
        <f>'⚙️ Scenario Matrix'!C56</f>
        <v/>
      </c>
      <c r="D63" s="213">
        <f>'⚙️ Scenario Matrix'!E56</f>
        <v/>
      </c>
      <c r="E63" s="213">
        <f>'⚙️ Scenario Matrix'!H56</f>
        <v/>
      </c>
      <c r="F63" s="214">
        <f>'⚙️ Scenario Matrix'!F56</f>
        <v/>
      </c>
      <c r="G63" s="215">
        <f>'⚙️ Scenario Matrix'!I56</f>
        <v/>
      </c>
      <c r="H63" s="215">
        <f>'⚙️ Scenario Matrix'!J56</f>
        <v/>
      </c>
      <c r="I63" s="215">
        <f>'⚙️ Scenario Matrix'!K56</f>
        <v/>
      </c>
      <c r="J63" s="216">
        <f>'⚙️ Scenario Matrix'!L56</f>
        <v/>
      </c>
      <c r="K63" s="216">
        <f>'⚙️ Scenario Matrix'!M56</f>
        <v/>
      </c>
      <c r="L63" s="217">
        <f>'⚙️ Scenario Matrix'!N56</f>
        <v/>
      </c>
    </row>
    <row r="64" ht="17" customHeight="1" s="28">
      <c r="B64" s="211">
        <f>'⚙️ Scenario Matrix'!B57</f>
        <v/>
      </c>
      <c r="C64" s="218">
        <f>'⚙️ Scenario Matrix'!C57</f>
        <v/>
      </c>
      <c r="D64" s="219">
        <f>'⚙️ Scenario Matrix'!E57</f>
        <v/>
      </c>
      <c r="E64" s="219">
        <f>'⚙️ Scenario Matrix'!H57</f>
        <v/>
      </c>
      <c r="F64" s="220">
        <f>'⚙️ Scenario Matrix'!F57</f>
        <v/>
      </c>
      <c r="G64" s="221">
        <f>'⚙️ Scenario Matrix'!I57</f>
        <v/>
      </c>
      <c r="H64" s="221">
        <f>'⚙️ Scenario Matrix'!J57</f>
        <v/>
      </c>
      <c r="I64" s="221">
        <f>'⚙️ Scenario Matrix'!K57</f>
        <v/>
      </c>
      <c r="J64" s="222">
        <f>'⚙️ Scenario Matrix'!L57</f>
        <v/>
      </c>
      <c r="K64" s="222">
        <f>'⚙️ Scenario Matrix'!M57</f>
        <v/>
      </c>
      <c r="L64" s="217">
        <f>'⚙️ Scenario Matrix'!N57</f>
        <v/>
      </c>
    </row>
    <row r="65" ht="17" customHeight="1" s="28">
      <c r="B65" s="204">
        <f>'⚙️ Scenario Matrix'!B58</f>
        <v/>
      </c>
      <c r="C65" s="205">
        <f>'⚙️ Scenario Matrix'!C58</f>
        <v/>
      </c>
      <c r="D65" s="206">
        <f>'⚙️ Scenario Matrix'!E58</f>
        <v/>
      </c>
      <c r="E65" s="206">
        <f>'⚙️ Scenario Matrix'!H58</f>
        <v/>
      </c>
      <c r="F65" s="207">
        <f>'⚙️ Scenario Matrix'!F58</f>
        <v/>
      </c>
      <c r="G65" s="208">
        <f>'⚙️ Scenario Matrix'!I58</f>
        <v/>
      </c>
      <c r="H65" s="208">
        <f>'⚙️ Scenario Matrix'!J58</f>
        <v/>
      </c>
      <c r="I65" s="208">
        <f>'⚙️ Scenario Matrix'!K58</f>
        <v/>
      </c>
      <c r="J65" s="209">
        <f>'⚙️ Scenario Matrix'!L58</f>
        <v/>
      </c>
      <c r="K65" s="209">
        <f>'⚙️ Scenario Matrix'!M58</f>
        <v/>
      </c>
      <c r="L65" s="210">
        <f>'⚙️ Scenario Matrix'!N58</f>
        <v/>
      </c>
    </row>
    <row r="66" ht="17" customHeight="1" s="28">
      <c r="B66" s="211">
        <f>'⚙️ Scenario Matrix'!B59</f>
        <v/>
      </c>
      <c r="C66" s="212">
        <f>'⚙️ Scenario Matrix'!C59</f>
        <v/>
      </c>
      <c r="D66" s="213">
        <f>'⚙️ Scenario Matrix'!E59</f>
        <v/>
      </c>
      <c r="E66" s="213">
        <f>'⚙️ Scenario Matrix'!H59</f>
        <v/>
      </c>
      <c r="F66" s="214">
        <f>'⚙️ Scenario Matrix'!F59</f>
        <v/>
      </c>
      <c r="G66" s="215">
        <f>'⚙️ Scenario Matrix'!I59</f>
        <v/>
      </c>
      <c r="H66" s="215">
        <f>'⚙️ Scenario Matrix'!J59</f>
        <v/>
      </c>
      <c r="I66" s="215">
        <f>'⚙️ Scenario Matrix'!K59</f>
        <v/>
      </c>
      <c r="J66" s="216">
        <f>'⚙️ Scenario Matrix'!L59</f>
        <v/>
      </c>
      <c r="K66" s="216">
        <f>'⚙️ Scenario Matrix'!M59</f>
        <v/>
      </c>
      <c r="L66" s="217">
        <f>'⚙️ Scenario Matrix'!N59</f>
        <v/>
      </c>
    </row>
    <row r="67" ht="17" customHeight="1" s="28">
      <c r="B67" s="211">
        <f>'⚙️ Scenario Matrix'!B60</f>
        <v/>
      </c>
      <c r="C67" s="218">
        <f>'⚙️ Scenario Matrix'!C60</f>
        <v/>
      </c>
      <c r="D67" s="219">
        <f>'⚙️ Scenario Matrix'!E60</f>
        <v/>
      </c>
      <c r="E67" s="219">
        <f>'⚙️ Scenario Matrix'!H60</f>
        <v/>
      </c>
      <c r="F67" s="220">
        <f>'⚙️ Scenario Matrix'!F60</f>
        <v/>
      </c>
      <c r="G67" s="221">
        <f>'⚙️ Scenario Matrix'!I60</f>
        <v/>
      </c>
      <c r="H67" s="221">
        <f>'⚙️ Scenario Matrix'!J60</f>
        <v/>
      </c>
      <c r="I67" s="221">
        <f>'⚙️ Scenario Matrix'!K60</f>
        <v/>
      </c>
      <c r="J67" s="222">
        <f>'⚙️ Scenario Matrix'!L60</f>
        <v/>
      </c>
      <c r="K67" s="222">
        <f>'⚙️ Scenario Matrix'!M60</f>
        <v/>
      </c>
      <c r="L67" s="217">
        <f>'⚙️ Scenario Matrix'!N60</f>
        <v/>
      </c>
    </row>
    <row r="68" ht="17" customHeight="1" s="28">
      <c r="B68" s="204">
        <f>'⚙️ Scenario Matrix'!B61</f>
        <v/>
      </c>
      <c r="C68" s="205">
        <f>'⚙️ Scenario Matrix'!C61</f>
        <v/>
      </c>
      <c r="D68" s="206">
        <f>'⚙️ Scenario Matrix'!E61</f>
        <v/>
      </c>
      <c r="E68" s="206">
        <f>'⚙️ Scenario Matrix'!H61</f>
        <v/>
      </c>
      <c r="F68" s="207">
        <f>'⚙️ Scenario Matrix'!F61</f>
        <v/>
      </c>
      <c r="G68" s="208">
        <f>'⚙️ Scenario Matrix'!I61</f>
        <v/>
      </c>
      <c r="H68" s="208">
        <f>'⚙️ Scenario Matrix'!J61</f>
        <v/>
      </c>
      <c r="I68" s="208">
        <f>'⚙️ Scenario Matrix'!K61</f>
        <v/>
      </c>
      <c r="J68" s="209">
        <f>'⚙️ Scenario Matrix'!L61</f>
        <v/>
      </c>
      <c r="K68" s="209">
        <f>'⚙️ Scenario Matrix'!M61</f>
        <v/>
      </c>
      <c r="L68" s="210">
        <f>'⚙️ Scenario Matrix'!N61</f>
        <v/>
      </c>
    </row>
    <row r="69" ht="17" customHeight="1" s="28">
      <c r="B69" s="211">
        <f>'⚙️ Scenario Matrix'!B62</f>
        <v/>
      </c>
      <c r="C69" s="212">
        <f>'⚙️ Scenario Matrix'!C62</f>
        <v/>
      </c>
      <c r="D69" s="213">
        <f>'⚙️ Scenario Matrix'!E62</f>
        <v/>
      </c>
      <c r="E69" s="213">
        <f>'⚙️ Scenario Matrix'!H62</f>
        <v/>
      </c>
      <c r="F69" s="214">
        <f>'⚙️ Scenario Matrix'!F62</f>
        <v/>
      </c>
      <c r="G69" s="215">
        <f>'⚙️ Scenario Matrix'!I62</f>
        <v/>
      </c>
      <c r="H69" s="215">
        <f>'⚙️ Scenario Matrix'!J62</f>
        <v/>
      </c>
      <c r="I69" s="215">
        <f>'⚙️ Scenario Matrix'!K62</f>
        <v/>
      </c>
      <c r="J69" s="216">
        <f>'⚙️ Scenario Matrix'!L62</f>
        <v/>
      </c>
      <c r="K69" s="216">
        <f>'⚙️ Scenario Matrix'!M62</f>
        <v/>
      </c>
      <c r="L69" s="217">
        <f>'⚙️ Scenario Matrix'!N62</f>
        <v/>
      </c>
    </row>
    <row r="70" ht="17" customHeight="1" s="28">
      <c r="B70" s="211">
        <f>'⚙️ Scenario Matrix'!B63</f>
        <v/>
      </c>
      <c r="C70" s="218">
        <f>'⚙️ Scenario Matrix'!C63</f>
        <v/>
      </c>
      <c r="D70" s="219">
        <f>'⚙️ Scenario Matrix'!E63</f>
        <v/>
      </c>
      <c r="E70" s="219">
        <f>'⚙️ Scenario Matrix'!H63</f>
        <v/>
      </c>
      <c r="F70" s="220">
        <f>'⚙️ Scenario Matrix'!F63</f>
        <v/>
      </c>
      <c r="G70" s="221">
        <f>'⚙️ Scenario Matrix'!I63</f>
        <v/>
      </c>
      <c r="H70" s="221">
        <f>'⚙️ Scenario Matrix'!J63</f>
        <v/>
      </c>
      <c r="I70" s="221">
        <f>'⚙️ Scenario Matrix'!K63</f>
        <v/>
      </c>
      <c r="J70" s="222">
        <f>'⚙️ Scenario Matrix'!L63</f>
        <v/>
      </c>
      <c r="K70" s="222">
        <f>'⚙️ Scenario Matrix'!M63</f>
        <v/>
      </c>
      <c r="L70" s="217">
        <f>'⚙️ Scenario Matrix'!N63</f>
        <v/>
      </c>
    </row>
    <row r="72" ht="30" customHeight="1" s="28">
      <c r="B72" s="184" t="inlineStr">
        <is>
          <t>LEGEND:   🔴 CRITICAL = leverage breaches threshold OR coverage &lt; min OR equity &lt; 0 OR FCF &lt; -20% revenue     🟡 WATCH = FCF negative OR leverage 3x–threshold     🟢 RESILIENT = FCF ≥ 0, leverage &lt; 3x, coverage ≥ min, equity positive     Delta columns: green = better, red = worse than base</t>
        </is>
      </c>
    </row>
    <row r="73" ht="18" customHeight="1" s="28">
      <c r="B73" s="185">
        <f>CONCAT("Active thresholds → Max Net Leverage: ",'Scenario_Setup'!B13,"x  |  Min EBIT/Interest: ",'Scenario_Setup'!B12,"x  |  Min Cash Buffer: $",'Scenario_Setup'!B11,"mm  —  Change these in Scenario_Setup")</f>
        <v/>
      </c>
      <c r="C73" s="202" t="n"/>
      <c r="D73" s="202" t="n"/>
      <c r="E73" s="202" t="n"/>
      <c r="F73" s="202" t="n"/>
      <c r="G73" s="202" t="n"/>
      <c r="H73" s="202" t="n"/>
      <c r="I73" s="202" t="n"/>
      <c r="J73" s="202" t="n"/>
      <c r="K73" s="202" t="n"/>
      <c r="L73" s="66" t="n"/>
    </row>
  </sheetData>
  <mergeCells count="13">
    <mergeCell ref="B6:C6"/>
    <mergeCell ref="B73:L73"/>
    <mergeCell ref="B72:L72"/>
    <mergeCell ref="B4:D4"/>
    <mergeCell ref="H4:J4"/>
    <mergeCell ref="B2:L2"/>
    <mergeCell ref="I9:K9"/>
    <mergeCell ref="B9:C9"/>
    <mergeCell ref="E4:G4"/>
    <mergeCell ref="F9:H9"/>
    <mergeCell ref="K4:L4"/>
    <mergeCell ref="D9:E9"/>
    <mergeCell ref="B1:L1"/>
  </mergeCells>
  <conditionalFormatting sqref="L11:L70">
    <cfRule type="cellIs" priority="1" operator="equal" dxfId="6">
      <formula>"CRITICAL"</formula>
    </cfRule>
    <cfRule type="cellIs" priority="2" operator="equal" dxfId="5">
      <formula>"RESILIENT"</formula>
    </cfRule>
    <cfRule type="cellIs" priority="3" operator="equal" dxfId="7">
      <formula>"WATCH"</formula>
    </cfRule>
    <cfRule type="cellIs" priority="11" operator="equal" dxfId="6">
      <formula>"CRITICAL"</formula>
    </cfRule>
    <cfRule type="cellIs" priority="12" operator="equal" dxfId="5">
      <formula>"RESILIENT"</formula>
    </cfRule>
    <cfRule type="cellIs" priority="13" operator="equal" dxfId="8">
      <formula>"WATCH"</formula>
    </cfRule>
  </conditionalFormatting>
  <conditionalFormatting sqref="H11:H70">
    <cfRule type="cellIs" priority="4" operator="lessThan" dxfId="3">
      <formula>0</formula>
    </cfRule>
    <cfRule type="cellIs" priority="5" operator="greaterThan" dxfId="4">
      <formula>0</formula>
    </cfRule>
    <cfRule type="cellIs" priority="18" operator="lessThan" dxfId="3">
      <formula>0</formula>
    </cfRule>
    <cfRule type="cellIs" priority="19" operator="greaterThan" dxfId="4">
      <formula>0</formula>
    </cfRule>
  </conditionalFormatting>
  <conditionalFormatting sqref="D11:D70">
    <cfRule type="cellIs" priority="6" operator="lessThan" dxfId="3">
      <formula>0</formula>
    </cfRule>
    <cfRule type="cellIs" priority="7" operator="greaterThan" dxfId="4">
      <formula>0</formula>
    </cfRule>
    <cfRule type="cellIs" priority="14" operator="lessThan" dxfId="3">
      <formula>0</formula>
    </cfRule>
    <cfRule type="cellIs" priority="15" operator="greaterThan" dxfId="4">
      <formula>0</formula>
    </cfRule>
  </conditionalFormatting>
  <conditionalFormatting sqref="E11:E70">
    <cfRule type="cellIs" priority="8" operator="lessThan" dxfId="3">
      <formula>0</formula>
    </cfRule>
    <cfRule type="cellIs" priority="9" operator="greaterThan" dxfId="4">
      <formula>0</formula>
    </cfRule>
    <cfRule type="cellIs" priority="16" operator="lessThan" dxfId="3">
      <formula>0</formula>
    </cfRule>
    <cfRule type="cellIs" priority="17" operator="greaterThan" dxfId="4">
      <formula>0</formula>
    </cfRule>
  </conditionalFormatting>
  <conditionalFormatting sqref="J11:J70">
    <cfRule type="cellIs" priority="10" operator="greaterThan" dxfId="3">
      <formula>'Scenario_Setup'!B13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D6D7E"/>
    <outlinePr summaryBelow="1" summaryRight="1"/>
    <pageSetUpPr/>
  </sheetPr>
  <dimension ref="A1:N6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28" min="1" max="1"/>
    <col width="36" customWidth="1" style="28" min="2" max="2"/>
    <col width="10" customWidth="1" style="28" min="3" max="3"/>
    <col width="14" customWidth="1" style="28" min="4" max="4"/>
    <col width="14" customWidth="1" style="28" min="5" max="5"/>
    <col width="12" customWidth="1" style="28" min="6" max="6"/>
    <col width="14" customWidth="1" style="28" min="7" max="7"/>
    <col width="14" customWidth="1" style="28" min="8" max="8"/>
    <col width="14" customWidth="1" style="28" min="9" max="9"/>
    <col width="14" customWidth="1" style="28" min="10" max="10"/>
    <col width="10" customWidth="1" style="28" min="11" max="11"/>
    <col width="10" customWidth="1" style="28" min="12" max="12"/>
    <col width="12" customWidth="1" style="28" min="13" max="13"/>
    <col width="10" customWidth="1" style="28" min="14" max="14"/>
    <col width="2" customWidth="1" style="28" min="15" max="15"/>
  </cols>
  <sheetData>
    <row r="1" ht="30" customHeight="1" s="28">
      <c r="B1" s="186" t="inlineStr">
        <is>
          <t>⚙️ SCENARIO MATRIX ENGINE  —  All 60 Scenarios × Severities Computed Simultaneously</t>
        </is>
      </c>
    </row>
    <row r="2" ht="18" customHeight="1" s="28">
      <c r="B2" s="187" t="inlineStr">
        <is>
          <t>Calculation engine — all formulas reference Hist_Financials and Scenario_Library directly. Do not edit. Change base data in Hist_Financials, thresholds in Scenario_Setup.</t>
        </is>
      </c>
    </row>
    <row r="3" ht="36" customHeight="1" s="28">
      <c r="B3" s="188" t="inlineStr">
        <is>
          <t>Scenario</t>
        </is>
      </c>
      <c r="C3" s="163" t="inlineStr">
        <is>
          <t>Severity</t>
        </is>
      </c>
      <c r="D3" s="164" t="inlineStr">
        <is>
          <t>Revenue
(Stressed)</t>
        </is>
      </c>
      <c r="E3" s="97" t="inlineStr">
        <is>
          <t>Revenue
Δ</t>
        </is>
      </c>
      <c r="F3" s="164" t="inlineStr">
        <is>
          <t>EBITDA Margin
(Stressed)</t>
        </is>
      </c>
      <c r="G3" s="164" t="inlineStr">
        <is>
          <t>EBITDA
(Stressed)</t>
        </is>
      </c>
      <c r="H3" s="97" t="inlineStr">
        <is>
          <t>EBITDA
Δ</t>
        </is>
      </c>
      <c r="I3" s="164" t="inlineStr">
        <is>
          <t>Net Income
(Stressed)</t>
        </is>
      </c>
      <c r="J3" s="164" t="inlineStr">
        <is>
          <t>FCF
(Stressed)</t>
        </is>
      </c>
      <c r="K3" s="164" t="inlineStr">
        <is>
          <t>Ending
Cash</t>
        </is>
      </c>
      <c r="L3" s="164" t="inlineStr">
        <is>
          <t>Net
Leverage</t>
        </is>
      </c>
      <c r="M3" s="164" t="inlineStr">
        <is>
          <t>Int
Coverage</t>
        </is>
      </c>
      <c r="N3" s="163" t="inlineStr">
        <is>
          <t>Rating</t>
        </is>
      </c>
    </row>
    <row r="4" ht="17" customHeight="1" s="28">
      <c r="B4" s="223">
        <f>'Scenario_Library'!A7</f>
        <v/>
      </c>
      <c r="C4" s="224" t="inlineStr">
        <is>
          <t>Light</t>
        </is>
      </c>
      <c r="D4" s="225">
        <f>'Hist_Financials'!D6*(1+'Scenario_Library'!E7)</f>
        <v/>
      </c>
      <c r="E4" s="226">
        <f>('Hist_Financials'!D6*(1+'Scenario_Library'!E7))-'Hist_Financials'!D6</f>
        <v/>
      </c>
      <c r="F4" s="227">
        <f>IFERROR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/('Hist_Financials'!D6*(1+'Scenario_Library'!E7)),0)</f>
        <v/>
      </c>
      <c r="G4" s="225">
        <f>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</f>
        <v/>
      </c>
      <c r="H4" s="226">
        <f>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11</f>
        <v/>
      </c>
      <c r="I4" s="225">
        <f>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-(MAX(0,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)*'Scenario_Library'!V7)</f>
        <v/>
      </c>
      <c r="J4" s="225">
        <f>((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-(MAX(0,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)*'Scenario_Library'!V7))+'Hist_Financials'!D12+('Hist_Financials'!D24*'Scenario_Library'!S7)+('Hist_Financials'!D25*'Scenario_Library'!T7)-( (('Hist_Financials'!D6*(1+'Scenario_Library'!E7))*(MAX(0,IFERROR('Hist_Financials'!D21/'Hist_Financials'!D6*365,0)+'Scenario_Library'!I7))/365)-'Hist_Financials'!D21 )-( (IFERROR(('Hist_Financials'!D6*(1+'Scenario_Library'!E7))*(1-(MAX(-0.5,MIN(0.9,IFERROR('Hist_Financials'!D8/'Hist_Financials'!D6,0)+'Scenario_Library'!F7/10000))))*(MAX(0,IFERROR('Hist_Financials'!D22/'Hist_Financials'!D7*365,0)+'Scenario_Library'!J7))/365,0))-'Hist_Financials'!D22 )+( (IFERROR(('Hist_Financials'!D6*(1+'Scenario_Library'!E7))*(1-(MAX(-0.5,MIN(0.9,IFERROR('Hist_Financials'!D8/'Hist_Financials'!D6,0)+'Scenario_Library'!F7/10000))))*(MAX(0,IFERROR('Hist_Financials'!D28/'Hist_Financials'!D7*365,0)+'Scenario_Library'!K7))/365,0))-'Hist_Financials'!D28 ))-('Hist_Financials'!D36*(1-'Scenario_Library'!P7))</f>
        <v/>
      </c>
      <c r="K4" s="225">
        <f>MAX(0,'Hist_Financials'!D20+((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-(MAX(0,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)*'Scenario_Library'!V7))+'Hist_Financials'!D12+('Hist_Financials'!D24*'Scenario_Library'!S7)+('Hist_Financials'!D25*'Scenario_Library'!T7)-( (('Hist_Financials'!D6*(1+'Scenario_Library'!E7))*(MAX(0,IFERROR('Hist_Financials'!D21/'Hist_Financials'!D6*365,0)+'Scenario_Library'!I7))/365)-'Hist_Financials'!D21 )-( (IFERROR(('Hist_Financials'!D6*(1+'Scenario_Library'!E7))*(1-(MAX(-0.5,MIN(0.9,IFERROR('Hist_Financials'!D8/'Hist_Financials'!D6,0)+'Scenario_Library'!F7/10000))))*(MAX(0,IFERROR('Hist_Financials'!D22/'Hist_Financials'!D7*365,0)+'Scenario_Library'!J7))/365,0))-'Hist_Financials'!D22 )+( (IFERROR(('Hist_Financials'!D6*(1+'Scenario_Library'!E7))*(1-(MAX(-0.5,MIN(0.9,IFERROR('Hist_Financials'!D8/'Hist_Financials'!D6,0)+'Scenario_Library'!F7/10000))))*(MAX(0,IFERROR('Hist_Financials'!D28/'Hist_Financials'!D7*365,0)+'Scenario_Library'!K7))/365,0))-'Hist_Financials'!D28 ))-('Hist_Financials'!D36*(1-'Scenario_Library'!P7))-('Hist_Financials'!D37*(1-'Scenario_Library'!Q7))-('Hist_Financials'!D38*(1-'Scenario_Library'!R7))-('Hist_Financials'!D27*(1-'Scenario_Library'!M7))-('Hist_Financials'!D30*'Scenario_Library'!N7*(1-'Scenario_Library'!O7)))</f>
        <v/>
      </c>
      <c r="L4" s="228">
        <f>IF('Hist_Financials'!D6=0,"",IFERROR(( (('Hist_Financials'!D27-('Hist_Financials'!D27*(1-'Scenario_Library'!M7)))+('Hist_Financials'!D30-('Hist_Financials'!D30*'Scenario_Library'!N7*(1-'Scenario_Library'!O7))))-(MAX(0,'Hist_Financials'!D20+((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-(MAX(0,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)*'Scenario_Library'!V7))+'Hist_Financials'!D12+('Hist_Financials'!D24*'Scenario_Library'!S7)+('Hist_Financials'!D25*'Scenario_Library'!T7)-( (('Hist_Financials'!D6*(1+'Scenario_Library'!E7))*(MAX(0,IFERROR('Hist_Financials'!D21/'Hist_Financials'!D6*365,0)+'Scenario_Library'!I7))/365)-'Hist_Financials'!D21 )-( (IFERROR(('Hist_Financials'!D6*(1+'Scenario_Library'!E7))*(1-(MAX(-0.5,MIN(0.9,IFERROR('Hist_Financials'!D8/'Hist_Financials'!D6,0)+'Scenario_Library'!F7/10000))))*(MAX(0,IFERROR('Hist_Financials'!D22/'Hist_Financials'!D7*365,0)+'Scenario_Library'!J7))/365,0))-'Hist_Financials'!D22 )+( (IFERROR(('Hist_Financials'!D6*(1+'Scenario_Library'!E7))*(1-(MAX(-0.5,MIN(0.9,IFERROR('Hist_Financials'!D8/'Hist_Financials'!D6,0)+'Scenario_Library'!F7/10000))))*(MAX(0,IFERROR('Hist_Financials'!D28/'Hist_Financials'!D7*365,0)+'Scenario_Library'!K7))/365,0))-'Hist_Financials'!D28 ))-('Hist_Financials'!D36*(1-'Scenario_Library'!P7))-('Hist_Financials'!D37*(1-'Scenario_Library'!Q7))-('Hist_Financials'!D38*(1-'Scenario_Library'!R7))-('Hist_Financials'!D27*(1-'Scenario_Library'!M7))-('Hist_Financials'!D30*'Scenario_Library'!N7*(1-'Scenario_Library'!O7)))) )/MAX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,0.01),99))</f>
        <v/>
      </c>
      <c r="M4" s="228">
        <f>IF('Hist_Financials'!D6=0,"",IFERROR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/MAX(((MAX(0,IFERROR('Hist_Financials'!D14/MAX('Hist_Financials'!D27+'Hist_Financials'!D30,1),0)+'Scenario_Library'!L7/10000))*('Hist_Financials'!D27+'Hist_Financials'!D30)),0.01),999))</f>
        <v/>
      </c>
      <c r="N4" s="229">
        <f>IF('Hist_Financials'!D6=0,"— NO DATA —",IF(OR((IFERROR(( (('Hist_Financials'!D27-('Hist_Financials'!D27*(1-'Scenario_Library'!M7)))+('Hist_Financials'!D30-('Hist_Financials'!D30*'Scenario_Library'!N7*(1-'Scenario_Library'!O7))))-(MAX(0,'Hist_Financials'!D20+((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-(MAX(0,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)*'Scenario_Library'!V7))+'Hist_Financials'!D12+('Hist_Financials'!D24*'Scenario_Library'!S7)+('Hist_Financials'!D25*'Scenario_Library'!T7)-( (('Hist_Financials'!D6*(1+'Scenario_Library'!E7))*(MAX(0,IFERROR('Hist_Financials'!D21/'Hist_Financials'!D6*365,0)+'Scenario_Library'!I7))/365)-'Hist_Financials'!D21 )-( (IFERROR(('Hist_Financials'!D6*(1+'Scenario_Library'!E7))*(1-(MAX(-0.5,MIN(0.9,IFERROR('Hist_Financials'!D8/'Hist_Financials'!D6,0)+'Scenario_Library'!F7/10000))))*(MAX(0,IFERROR('Hist_Financials'!D22/'Hist_Financials'!D7*365,0)+'Scenario_Library'!J7))/365,0))-'Hist_Financials'!D22 )+( (IFERROR(('Hist_Financials'!D6*(1+'Scenario_Library'!E7))*(1-(MAX(-0.5,MIN(0.9,IFERROR('Hist_Financials'!D8/'Hist_Financials'!D6,0)+'Scenario_Library'!F7/10000))))*(MAX(0,IFERROR('Hist_Financials'!D28/'Hist_Financials'!D7*365,0)+'Scenario_Library'!K7))/365,0))-'Hist_Financials'!D28 ))-('Hist_Financials'!D36*(1-'Scenario_Library'!P7))-('Hist_Financials'!D37*(1-'Scenario_Library'!Q7))-('Hist_Financials'!D38*(1-'Scenario_Library'!R7))-('Hist_Financials'!D27*(1-'Scenario_Library'!M7))-('Hist_Financials'!D30*'Scenario_Library'!N7*(1-'Scenario_Library'!O7)))) )/MAX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,0.01),99))&gt;'Scenario_Setup'!B13,(IFERROR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/MAX(((MAX(0,IFERROR('Hist_Financials'!D14/MAX('Hist_Financials'!D27+'Hist_Financials'!D30,1),0)+'Scenario_Library'!L7/10000))*('Hist_Financials'!D27+'Hist_Financials'!D30)),0.01),999))&lt;'Scenario_Setup'!B12,('Hist_Financials'!D32+(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-(MAX(0,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)*'Scenario_Library'!V7))-('Hist_Financials'!D37*(1-'Scenario_Library'!Q7))-('Hist_Financials'!D38*(1-'Scenario_Library'!R7)))&lt;0,(((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-(MAX(0,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)*'Scenario_Library'!V7))+'Hist_Financials'!D12+('Hist_Financials'!D24*'Scenario_Library'!S7)+('Hist_Financials'!D25*'Scenario_Library'!T7)-( (('Hist_Financials'!D6*(1+'Scenario_Library'!E7))*(MAX(0,IFERROR('Hist_Financials'!D21/'Hist_Financials'!D6*365,0)+'Scenario_Library'!I7))/365)-'Hist_Financials'!D21 )-( (IFERROR(('Hist_Financials'!D6*(1+'Scenario_Library'!E7))*(1-(MAX(-0.5,MIN(0.9,IFERROR('Hist_Financials'!D8/'Hist_Financials'!D6,0)+'Scenario_Library'!F7/10000))))*(MAX(0,IFERROR('Hist_Financials'!D22/'Hist_Financials'!D7*365,0)+'Scenario_Library'!J7))/365,0))-'Hist_Financials'!D22 )+( (IFERROR(('Hist_Financials'!D6*(1+'Scenario_Library'!E7))*(1-(MAX(-0.5,MIN(0.9,IFERROR('Hist_Financials'!D8/'Hist_Financials'!D6,0)+'Scenario_Library'!F7/10000))))*(MAX(0,IFERROR('Hist_Financials'!D28/'Hist_Financials'!D7*365,0)+'Scenario_Library'!K7))/365,0))-'Hist_Financials'!D28 ))-('Hist_Financials'!D36*(1-'Scenario_Library'!P7)))&lt;-0.2*'Hist_Financials'!D6),"CRITICAL",IF(AND((((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-(MAX(0,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)*'Scenario_Library'!V7))+'Hist_Financials'!D12+('Hist_Financials'!D24*'Scenario_Library'!S7)+('Hist_Financials'!D25*'Scenario_Library'!T7)-( (('Hist_Financials'!D6*(1+'Scenario_Library'!E7))*(MAX(0,IFERROR('Hist_Financials'!D21/'Hist_Financials'!D6*365,0)+'Scenario_Library'!I7))/365)-'Hist_Financials'!D21 )-( (IFERROR(('Hist_Financials'!D6*(1+'Scenario_Library'!E7))*(1-(MAX(-0.5,MIN(0.9,IFERROR('Hist_Financials'!D8/'Hist_Financials'!D6,0)+'Scenario_Library'!F7/10000))))*(MAX(0,IFERROR('Hist_Financials'!D22/'Hist_Financials'!D7*365,0)+'Scenario_Library'!J7))/365,0))-'Hist_Financials'!D22 )+( (IFERROR(('Hist_Financials'!D6*(1+'Scenario_Library'!E7))*(1-(MAX(-0.5,MIN(0.9,IFERROR('Hist_Financials'!D8/'Hist_Financials'!D6,0)+'Scenario_Library'!F7/10000))))*(MAX(0,IFERROR('Hist_Financials'!D28/'Hist_Financials'!D7*365,0)+'Scenario_Library'!K7))/365,0))-'Hist_Financials'!D28 ))-('Hist_Financials'!D36*(1-'Scenario_Library'!P7)))&gt;=0,(IFERROR(( (('Hist_Financials'!D27-('Hist_Financials'!D27*(1-'Scenario_Library'!M7)))+('Hist_Financials'!D30-('Hist_Financials'!D30*'Scenario_Library'!N7*(1-'Scenario_Library'!O7))))-(MAX(0,'Hist_Financials'!D20+((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-(MAX(0,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)*'Scenario_Library'!V7))+'Hist_Financials'!D12+('Hist_Financials'!D24*'Scenario_Library'!S7)+('Hist_Financials'!D25*'Scenario_Library'!T7)-( (('Hist_Financials'!D6*(1+'Scenario_Library'!E7))*(MAX(0,IFERROR('Hist_Financials'!D21/'Hist_Financials'!D6*365,0)+'Scenario_Library'!I7))/365)-'Hist_Financials'!D21 )-( (IFERROR(('Hist_Financials'!D6*(1+'Scenario_Library'!E7))*(1-(MAX(-0.5,MIN(0.9,IFERROR('Hist_Financials'!D8/'Hist_Financials'!D6,0)+'Scenario_Library'!F7/10000))))*(MAX(0,IFERROR('Hist_Financials'!D22/'Hist_Financials'!D7*365,0)+'Scenario_Library'!J7))/365,0))-'Hist_Financials'!D22 )+( (IFERROR(('Hist_Financials'!D6*(1+'Scenario_Library'!E7))*(1-(MAX(-0.5,MIN(0.9,IFERROR('Hist_Financials'!D8/'Hist_Financials'!D6,0)+'Scenario_Library'!F7/10000))))*(MAX(0,IFERROR('Hist_Financials'!D28/'Hist_Financials'!D7*365,0)+'Scenario_Library'!K7))/365,0))-'Hist_Financials'!D28 ))-('Hist_Financials'!D36*(1-'Scenario_Library'!P7))-('Hist_Financials'!D37*(1-'Scenario_Library'!Q7))-('Hist_Financials'!D38*(1-'Scenario_Library'!R7))-('Hist_Financials'!D27*(1-'Scenario_Library'!M7))-('Hist_Financials'!D30*'Scenario_Library'!N7*(1-'Scenario_Library'!O7)))) )/MAX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,0.01),99))&lt;3,(IFERROR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/MAX(((MAX(0,IFERROR('Hist_Financials'!D14/MAX('Hist_Financials'!D27+'Hist_Financials'!D30,1),0)+'Scenario_Library'!L7/10000))*('Hist_Financials'!D27+'Hist_Financials'!D30)),0.01),999))&gt;='Scenario_Setup'!B12,('Hist_Financials'!D32+(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-(MAX(0,((((('Hist_Financials'!D6*(1+'Scenario_Library'!E7))*(MAX(-0.5,MIN(0.9,IFERROR('Hist_Financials'!D8/'Hist_Financials'!D6,0)+'Scenario_Library'!F7/10000))))-(MAX(0,'Hist_Financials'!D9*(1+'Scenario_Setup'!B9*('Scenario_Library'!E7)+('Scenario_Library'!G7))))-(MAX(0,'Hist_Financials'!D10*(1+'Scenario_Library'!H7))))-'Hist_Financials'!D12)-((MAX(0,IFERROR('Hist_Financials'!D14/MAX('Hist_Financials'!D27+'Hist_Financials'!D30,1),0)+'Scenario_Library'!L7/10000))*('Hist_Financials'!D27+'Hist_Financials'!D30))-('Hist_Financials'!D24*'Scenario_Library'!S7)-('Hist_Financials'!D25*'Scenario_Library'!T7)-('Hist_Financials'!D6*'Scenario_Library'!U7)))*'Scenario_Library'!V7))-('Hist_Financials'!D37*(1-'Scenario_Library'!Q7))-('Hist_Financials'!D38*(1-'Scenario_Library'!R7)))&gt;0),"RESILIENT","WATCH")))</f>
        <v/>
      </c>
    </row>
    <row r="5" ht="17" customHeight="1" s="28">
      <c r="B5" s="230">
        <f>'Scenario_Library'!A8</f>
        <v/>
      </c>
      <c r="C5" s="231" t="inlineStr">
        <is>
          <t>Base</t>
        </is>
      </c>
      <c r="D5" s="215">
        <f>'Hist_Financials'!D6*(1+'Scenario_Library'!E8)</f>
        <v/>
      </c>
      <c r="E5" s="213">
        <f>('Hist_Financials'!D6*(1+'Scenario_Library'!E8))-'Hist_Financials'!D6</f>
        <v/>
      </c>
      <c r="F5" s="214">
        <f>IFERROR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/('Hist_Financials'!D6*(1+'Scenario_Library'!E8)),0)</f>
        <v/>
      </c>
      <c r="G5" s="215">
        <f>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</f>
        <v/>
      </c>
      <c r="H5" s="213">
        <f>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11</f>
        <v/>
      </c>
      <c r="I5" s="215">
        <f>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-(MAX(0,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)*'Scenario_Library'!V8)</f>
        <v/>
      </c>
      <c r="J5" s="215">
        <f>((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-(MAX(0,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)*'Scenario_Library'!V8))+'Hist_Financials'!D12+('Hist_Financials'!D24*'Scenario_Library'!S8)+('Hist_Financials'!D25*'Scenario_Library'!T8)-( (('Hist_Financials'!D6*(1+'Scenario_Library'!E8))*(MAX(0,IFERROR('Hist_Financials'!D21/'Hist_Financials'!D6*365,0)+'Scenario_Library'!I8))/365)-'Hist_Financials'!D21 )-( (IFERROR(('Hist_Financials'!D6*(1+'Scenario_Library'!E8))*(1-(MAX(-0.5,MIN(0.9,IFERROR('Hist_Financials'!D8/'Hist_Financials'!D6,0)+'Scenario_Library'!F8/10000))))*(MAX(0,IFERROR('Hist_Financials'!D22/'Hist_Financials'!D7*365,0)+'Scenario_Library'!J8))/365,0))-'Hist_Financials'!D22 )+( (IFERROR(('Hist_Financials'!D6*(1+'Scenario_Library'!E8))*(1-(MAX(-0.5,MIN(0.9,IFERROR('Hist_Financials'!D8/'Hist_Financials'!D6,0)+'Scenario_Library'!F8/10000))))*(MAX(0,IFERROR('Hist_Financials'!D28/'Hist_Financials'!D7*365,0)+'Scenario_Library'!K8))/365,0))-'Hist_Financials'!D28 ))-('Hist_Financials'!D36*(1-'Scenario_Library'!P8))</f>
        <v/>
      </c>
      <c r="K5" s="215">
        <f>MAX(0,'Hist_Financials'!D20+((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-(MAX(0,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)*'Scenario_Library'!V8))+'Hist_Financials'!D12+('Hist_Financials'!D24*'Scenario_Library'!S8)+('Hist_Financials'!D25*'Scenario_Library'!T8)-( (('Hist_Financials'!D6*(1+'Scenario_Library'!E8))*(MAX(0,IFERROR('Hist_Financials'!D21/'Hist_Financials'!D6*365,0)+'Scenario_Library'!I8))/365)-'Hist_Financials'!D21 )-( (IFERROR(('Hist_Financials'!D6*(1+'Scenario_Library'!E8))*(1-(MAX(-0.5,MIN(0.9,IFERROR('Hist_Financials'!D8/'Hist_Financials'!D6,0)+'Scenario_Library'!F8/10000))))*(MAX(0,IFERROR('Hist_Financials'!D22/'Hist_Financials'!D7*365,0)+'Scenario_Library'!J8))/365,0))-'Hist_Financials'!D22 )+( (IFERROR(('Hist_Financials'!D6*(1+'Scenario_Library'!E8))*(1-(MAX(-0.5,MIN(0.9,IFERROR('Hist_Financials'!D8/'Hist_Financials'!D6,0)+'Scenario_Library'!F8/10000))))*(MAX(0,IFERROR('Hist_Financials'!D28/'Hist_Financials'!D7*365,0)+'Scenario_Library'!K8))/365,0))-'Hist_Financials'!D28 ))-('Hist_Financials'!D36*(1-'Scenario_Library'!P8))-('Hist_Financials'!D37*(1-'Scenario_Library'!Q8))-('Hist_Financials'!D38*(1-'Scenario_Library'!R8))-('Hist_Financials'!D27*(1-'Scenario_Library'!M8))-('Hist_Financials'!D30*'Scenario_Library'!N8*(1-'Scenario_Library'!O8)))</f>
        <v/>
      </c>
      <c r="L5" s="216">
        <f>IF('Hist_Financials'!D6=0,"",IFERROR(( (('Hist_Financials'!D27-('Hist_Financials'!D27*(1-'Scenario_Library'!M8)))+('Hist_Financials'!D30-('Hist_Financials'!D30*'Scenario_Library'!N8*(1-'Scenario_Library'!O8))))-(MAX(0,'Hist_Financials'!D20+((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-(MAX(0,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)*'Scenario_Library'!V8))+'Hist_Financials'!D12+('Hist_Financials'!D24*'Scenario_Library'!S8)+('Hist_Financials'!D25*'Scenario_Library'!T8)-( (('Hist_Financials'!D6*(1+'Scenario_Library'!E8))*(MAX(0,IFERROR('Hist_Financials'!D21/'Hist_Financials'!D6*365,0)+'Scenario_Library'!I8))/365)-'Hist_Financials'!D21 )-( (IFERROR(('Hist_Financials'!D6*(1+'Scenario_Library'!E8))*(1-(MAX(-0.5,MIN(0.9,IFERROR('Hist_Financials'!D8/'Hist_Financials'!D6,0)+'Scenario_Library'!F8/10000))))*(MAX(0,IFERROR('Hist_Financials'!D22/'Hist_Financials'!D7*365,0)+'Scenario_Library'!J8))/365,0))-'Hist_Financials'!D22 )+( (IFERROR(('Hist_Financials'!D6*(1+'Scenario_Library'!E8))*(1-(MAX(-0.5,MIN(0.9,IFERROR('Hist_Financials'!D8/'Hist_Financials'!D6,0)+'Scenario_Library'!F8/10000))))*(MAX(0,IFERROR('Hist_Financials'!D28/'Hist_Financials'!D7*365,0)+'Scenario_Library'!K8))/365,0))-'Hist_Financials'!D28 ))-('Hist_Financials'!D36*(1-'Scenario_Library'!P8))-('Hist_Financials'!D37*(1-'Scenario_Library'!Q8))-('Hist_Financials'!D38*(1-'Scenario_Library'!R8))-('Hist_Financials'!D27*(1-'Scenario_Library'!M8))-('Hist_Financials'!D30*'Scenario_Library'!N8*(1-'Scenario_Library'!O8)))) )/MAX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,0.01),99))</f>
        <v/>
      </c>
      <c r="M5" s="216">
        <f>IF('Hist_Financials'!D6=0,"",IFERROR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/MAX(((MAX(0,IFERROR('Hist_Financials'!D14/MAX('Hist_Financials'!D27+'Hist_Financials'!D30,1),0)+'Scenario_Library'!L8/10000))*('Hist_Financials'!D27+'Hist_Financials'!D30)),0.01),999))</f>
        <v/>
      </c>
      <c r="N5" s="212">
        <f>IF('Hist_Financials'!D6=0,"— NO DATA —",IF(OR((IFERROR(( (('Hist_Financials'!D27-('Hist_Financials'!D27*(1-'Scenario_Library'!M8)))+('Hist_Financials'!D30-('Hist_Financials'!D30*'Scenario_Library'!N8*(1-'Scenario_Library'!O8))))-(MAX(0,'Hist_Financials'!D20+((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-(MAX(0,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)*'Scenario_Library'!V8))+'Hist_Financials'!D12+('Hist_Financials'!D24*'Scenario_Library'!S8)+('Hist_Financials'!D25*'Scenario_Library'!T8)-( (('Hist_Financials'!D6*(1+'Scenario_Library'!E8))*(MAX(0,IFERROR('Hist_Financials'!D21/'Hist_Financials'!D6*365,0)+'Scenario_Library'!I8))/365)-'Hist_Financials'!D21 )-( (IFERROR(('Hist_Financials'!D6*(1+'Scenario_Library'!E8))*(1-(MAX(-0.5,MIN(0.9,IFERROR('Hist_Financials'!D8/'Hist_Financials'!D6,0)+'Scenario_Library'!F8/10000))))*(MAX(0,IFERROR('Hist_Financials'!D22/'Hist_Financials'!D7*365,0)+'Scenario_Library'!J8))/365,0))-'Hist_Financials'!D22 )+( (IFERROR(('Hist_Financials'!D6*(1+'Scenario_Library'!E8))*(1-(MAX(-0.5,MIN(0.9,IFERROR('Hist_Financials'!D8/'Hist_Financials'!D6,0)+'Scenario_Library'!F8/10000))))*(MAX(0,IFERROR('Hist_Financials'!D28/'Hist_Financials'!D7*365,0)+'Scenario_Library'!K8))/365,0))-'Hist_Financials'!D28 ))-('Hist_Financials'!D36*(1-'Scenario_Library'!P8))-('Hist_Financials'!D37*(1-'Scenario_Library'!Q8))-('Hist_Financials'!D38*(1-'Scenario_Library'!R8))-('Hist_Financials'!D27*(1-'Scenario_Library'!M8))-('Hist_Financials'!D30*'Scenario_Library'!N8*(1-'Scenario_Library'!O8)))) )/MAX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,0.01),99))&gt;'Scenario_Setup'!B13,(IFERROR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/MAX(((MAX(0,IFERROR('Hist_Financials'!D14/MAX('Hist_Financials'!D27+'Hist_Financials'!D30,1),0)+'Scenario_Library'!L8/10000))*('Hist_Financials'!D27+'Hist_Financials'!D30)),0.01),999))&lt;'Scenario_Setup'!B12,('Hist_Financials'!D32+(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-(MAX(0,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)*'Scenario_Library'!V8))-('Hist_Financials'!D37*(1-'Scenario_Library'!Q8))-('Hist_Financials'!D38*(1-'Scenario_Library'!R8)))&lt;0,(((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-(MAX(0,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)*'Scenario_Library'!V8))+'Hist_Financials'!D12+('Hist_Financials'!D24*'Scenario_Library'!S8)+('Hist_Financials'!D25*'Scenario_Library'!T8)-( (('Hist_Financials'!D6*(1+'Scenario_Library'!E8))*(MAX(0,IFERROR('Hist_Financials'!D21/'Hist_Financials'!D6*365,0)+'Scenario_Library'!I8))/365)-'Hist_Financials'!D21 )-( (IFERROR(('Hist_Financials'!D6*(1+'Scenario_Library'!E8))*(1-(MAX(-0.5,MIN(0.9,IFERROR('Hist_Financials'!D8/'Hist_Financials'!D6,0)+'Scenario_Library'!F8/10000))))*(MAX(0,IFERROR('Hist_Financials'!D22/'Hist_Financials'!D7*365,0)+'Scenario_Library'!J8))/365,0))-'Hist_Financials'!D22 )+( (IFERROR(('Hist_Financials'!D6*(1+'Scenario_Library'!E8))*(1-(MAX(-0.5,MIN(0.9,IFERROR('Hist_Financials'!D8/'Hist_Financials'!D6,0)+'Scenario_Library'!F8/10000))))*(MAX(0,IFERROR('Hist_Financials'!D28/'Hist_Financials'!D7*365,0)+'Scenario_Library'!K8))/365,0))-'Hist_Financials'!D28 ))-('Hist_Financials'!D36*(1-'Scenario_Library'!P8)))&lt;-0.2*'Hist_Financials'!D6),"CRITICAL",IF(AND((((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-(MAX(0,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)*'Scenario_Library'!V8))+'Hist_Financials'!D12+('Hist_Financials'!D24*'Scenario_Library'!S8)+('Hist_Financials'!D25*'Scenario_Library'!T8)-( (('Hist_Financials'!D6*(1+'Scenario_Library'!E8))*(MAX(0,IFERROR('Hist_Financials'!D21/'Hist_Financials'!D6*365,0)+'Scenario_Library'!I8))/365)-'Hist_Financials'!D21 )-( (IFERROR(('Hist_Financials'!D6*(1+'Scenario_Library'!E8))*(1-(MAX(-0.5,MIN(0.9,IFERROR('Hist_Financials'!D8/'Hist_Financials'!D6,0)+'Scenario_Library'!F8/10000))))*(MAX(0,IFERROR('Hist_Financials'!D22/'Hist_Financials'!D7*365,0)+'Scenario_Library'!J8))/365,0))-'Hist_Financials'!D22 )+( (IFERROR(('Hist_Financials'!D6*(1+'Scenario_Library'!E8))*(1-(MAX(-0.5,MIN(0.9,IFERROR('Hist_Financials'!D8/'Hist_Financials'!D6,0)+'Scenario_Library'!F8/10000))))*(MAX(0,IFERROR('Hist_Financials'!D28/'Hist_Financials'!D7*365,0)+'Scenario_Library'!K8))/365,0))-'Hist_Financials'!D28 ))-('Hist_Financials'!D36*(1-'Scenario_Library'!P8)))&gt;=0,(IFERROR(( (('Hist_Financials'!D27-('Hist_Financials'!D27*(1-'Scenario_Library'!M8)))+('Hist_Financials'!D30-('Hist_Financials'!D30*'Scenario_Library'!N8*(1-'Scenario_Library'!O8))))-(MAX(0,'Hist_Financials'!D20+((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-(MAX(0,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)*'Scenario_Library'!V8))+'Hist_Financials'!D12+('Hist_Financials'!D24*'Scenario_Library'!S8)+('Hist_Financials'!D25*'Scenario_Library'!T8)-( (('Hist_Financials'!D6*(1+'Scenario_Library'!E8))*(MAX(0,IFERROR('Hist_Financials'!D21/'Hist_Financials'!D6*365,0)+'Scenario_Library'!I8))/365)-'Hist_Financials'!D21 )-( (IFERROR(('Hist_Financials'!D6*(1+'Scenario_Library'!E8))*(1-(MAX(-0.5,MIN(0.9,IFERROR('Hist_Financials'!D8/'Hist_Financials'!D6,0)+'Scenario_Library'!F8/10000))))*(MAX(0,IFERROR('Hist_Financials'!D22/'Hist_Financials'!D7*365,0)+'Scenario_Library'!J8))/365,0))-'Hist_Financials'!D22 )+( (IFERROR(('Hist_Financials'!D6*(1+'Scenario_Library'!E8))*(1-(MAX(-0.5,MIN(0.9,IFERROR('Hist_Financials'!D8/'Hist_Financials'!D6,0)+'Scenario_Library'!F8/10000))))*(MAX(0,IFERROR('Hist_Financials'!D28/'Hist_Financials'!D7*365,0)+'Scenario_Library'!K8))/365,0))-'Hist_Financials'!D28 ))-('Hist_Financials'!D36*(1-'Scenario_Library'!P8))-('Hist_Financials'!D37*(1-'Scenario_Library'!Q8))-('Hist_Financials'!D38*(1-'Scenario_Library'!R8))-('Hist_Financials'!D27*(1-'Scenario_Library'!M8))-('Hist_Financials'!D30*'Scenario_Library'!N8*(1-'Scenario_Library'!O8)))) )/MAX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,0.01),99))&lt;3,(IFERROR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/MAX(((MAX(0,IFERROR('Hist_Financials'!D14/MAX('Hist_Financials'!D27+'Hist_Financials'!D30,1),0)+'Scenario_Library'!L8/10000))*('Hist_Financials'!D27+'Hist_Financials'!D30)),0.01),999))&gt;='Scenario_Setup'!B12,('Hist_Financials'!D32+(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-(MAX(0,((((('Hist_Financials'!D6*(1+'Scenario_Library'!E8))*(MAX(-0.5,MIN(0.9,IFERROR('Hist_Financials'!D8/'Hist_Financials'!D6,0)+'Scenario_Library'!F8/10000))))-(MAX(0,'Hist_Financials'!D9*(1+'Scenario_Setup'!B9*('Scenario_Library'!E8)+('Scenario_Library'!G8))))-(MAX(0,'Hist_Financials'!D10*(1+'Scenario_Library'!H8))))-'Hist_Financials'!D12)-((MAX(0,IFERROR('Hist_Financials'!D14/MAX('Hist_Financials'!D27+'Hist_Financials'!D30,1),0)+'Scenario_Library'!L8/10000))*('Hist_Financials'!D27+'Hist_Financials'!D30))-('Hist_Financials'!D24*'Scenario_Library'!S8)-('Hist_Financials'!D25*'Scenario_Library'!T8)-('Hist_Financials'!D6*'Scenario_Library'!U8)))*'Scenario_Library'!V8))-('Hist_Financials'!D37*(1-'Scenario_Library'!Q8))-('Hist_Financials'!D38*(1-'Scenario_Library'!R8)))&gt;0),"RESILIENT","WATCH")))</f>
        <v/>
      </c>
    </row>
    <row r="6" ht="17" customHeight="1" s="28">
      <c r="B6" s="230">
        <f>'Scenario_Library'!A9</f>
        <v/>
      </c>
      <c r="C6" s="232" t="inlineStr">
        <is>
          <t>Severe</t>
        </is>
      </c>
      <c r="D6" s="221">
        <f>'Hist_Financials'!D6*(1+'Scenario_Library'!E9)</f>
        <v/>
      </c>
      <c r="E6" s="219">
        <f>('Hist_Financials'!D6*(1+'Scenario_Library'!E9))-'Hist_Financials'!D6</f>
        <v/>
      </c>
      <c r="F6" s="220">
        <f>IFERROR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/('Hist_Financials'!D6*(1+'Scenario_Library'!E9)),0)</f>
        <v/>
      </c>
      <c r="G6" s="221">
        <f>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</f>
        <v/>
      </c>
      <c r="H6" s="219">
        <f>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11</f>
        <v/>
      </c>
      <c r="I6" s="221">
        <f>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-(MAX(0,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)*'Scenario_Library'!V9)</f>
        <v/>
      </c>
      <c r="J6" s="221">
        <f>((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-(MAX(0,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)*'Scenario_Library'!V9))+'Hist_Financials'!D12+('Hist_Financials'!D24*'Scenario_Library'!S9)+('Hist_Financials'!D25*'Scenario_Library'!T9)-( (('Hist_Financials'!D6*(1+'Scenario_Library'!E9))*(MAX(0,IFERROR('Hist_Financials'!D21/'Hist_Financials'!D6*365,0)+'Scenario_Library'!I9))/365)-'Hist_Financials'!D21 )-( (IFERROR(('Hist_Financials'!D6*(1+'Scenario_Library'!E9))*(1-(MAX(-0.5,MIN(0.9,IFERROR('Hist_Financials'!D8/'Hist_Financials'!D6,0)+'Scenario_Library'!F9/10000))))*(MAX(0,IFERROR('Hist_Financials'!D22/'Hist_Financials'!D7*365,0)+'Scenario_Library'!J9))/365,0))-'Hist_Financials'!D22 )+( (IFERROR(('Hist_Financials'!D6*(1+'Scenario_Library'!E9))*(1-(MAX(-0.5,MIN(0.9,IFERROR('Hist_Financials'!D8/'Hist_Financials'!D6,0)+'Scenario_Library'!F9/10000))))*(MAX(0,IFERROR('Hist_Financials'!D28/'Hist_Financials'!D7*365,0)+'Scenario_Library'!K9))/365,0))-'Hist_Financials'!D28 ))-('Hist_Financials'!D36*(1-'Scenario_Library'!P9))</f>
        <v/>
      </c>
      <c r="K6" s="221">
        <f>MAX(0,'Hist_Financials'!D20+((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-(MAX(0,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)*'Scenario_Library'!V9))+'Hist_Financials'!D12+('Hist_Financials'!D24*'Scenario_Library'!S9)+('Hist_Financials'!D25*'Scenario_Library'!T9)-( (('Hist_Financials'!D6*(1+'Scenario_Library'!E9))*(MAX(0,IFERROR('Hist_Financials'!D21/'Hist_Financials'!D6*365,0)+'Scenario_Library'!I9))/365)-'Hist_Financials'!D21 )-( (IFERROR(('Hist_Financials'!D6*(1+'Scenario_Library'!E9))*(1-(MAX(-0.5,MIN(0.9,IFERROR('Hist_Financials'!D8/'Hist_Financials'!D6,0)+'Scenario_Library'!F9/10000))))*(MAX(0,IFERROR('Hist_Financials'!D22/'Hist_Financials'!D7*365,0)+'Scenario_Library'!J9))/365,0))-'Hist_Financials'!D22 )+( (IFERROR(('Hist_Financials'!D6*(1+'Scenario_Library'!E9))*(1-(MAX(-0.5,MIN(0.9,IFERROR('Hist_Financials'!D8/'Hist_Financials'!D6,0)+'Scenario_Library'!F9/10000))))*(MAX(0,IFERROR('Hist_Financials'!D28/'Hist_Financials'!D7*365,0)+'Scenario_Library'!K9))/365,0))-'Hist_Financials'!D28 ))-('Hist_Financials'!D36*(1-'Scenario_Library'!P9))-('Hist_Financials'!D37*(1-'Scenario_Library'!Q9))-('Hist_Financials'!D38*(1-'Scenario_Library'!R9))-('Hist_Financials'!D27*(1-'Scenario_Library'!M9))-('Hist_Financials'!D30*'Scenario_Library'!N9*(1-'Scenario_Library'!O9)))</f>
        <v/>
      </c>
      <c r="L6" s="222">
        <f>IF('Hist_Financials'!D6=0,"",IFERROR(( (('Hist_Financials'!D27-('Hist_Financials'!D27*(1-'Scenario_Library'!M9)))+('Hist_Financials'!D30-('Hist_Financials'!D30*'Scenario_Library'!N9*(1-'Scenario_Library'!O9))))-(MAX(0,'Hist_Financials'!D20+((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-(MAX(0,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)*'Scenario_Library'!V9))+'Hist_Financials'!D12+('Hist_Financials'!D24*'Scenario_Library'!S9)+('Hist_Financials'!D25*'Scenario_Library'!T9)-( (('Hist_Financials'!D6*(1+'Scenario_Library'!E9))*(MAX(0,IFERROR('Hist_Financials'!D21/'Hist_Financials'!D6*365,0)+'Scenario_Library'!I9))/365)-'Hist_Financials'!D21 )-( (IFERROR(('Hist_Financials'!D6*(1+'Scenario_Library'!E9))*(1-(MAX(-0.5,MIN(0.9,IFERROR('Hist_Financials'!D8/'Hist_Financials'!D6,0)+'Scenario_Library'!F9/10000))))*(MAX(0,IFERROR('Hist_Financials'!D22/'Hist_Financials'!D7*365,0)+'Scenario_Library'!J9))/365,0))-'Hist_Financials'!D22 )+( (IFERROR(('Hist_Financials'!D6*(1+'Scenario_Library'!E9))*(1-(MAX(-0.5,MIN(0.9,IFERROR('Hist_Financials'!D8/'Hist_Financials'!D6,0)+'Scenario_Library'!F9/10000))))*(MAX(0,IFERROR('Hist_Financials'!D28/'Hist_Financials'!D7*365,0)+'Scenario_Library'!K9))/365,0))-'Hist_Financials'!D28 ))-('Hist_Financials'!D36*(1-'Scenario_Library'!P9))-('Hist_Financials'!D37*(1-'Scenario_Library'!Q9))-('Hist_Financials'!D38*(1-'Scenario_Library'!R9))-('Hist_Financials'!D27*(1-'Scenario_Library'!M9))-('Hist_Financials'!D30*'Scenario_Library'!N9*(1-'Scenario_Library'!O9)))) )/MAX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,0.01),99))</f>
        <v/>
      </c>
      <c r="M6" s="222">
        <f>IF('Hist_Financials'!D6=0,"",IFERROR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/MAX(((MAX(0,IFERROR('Hist_Financials'!D14/MAX('Hist_Financials'!D27+'Hist_Financials'!D30,1),0)+'Scenario_Library'!L9/10000))*('Hist_Financials'!D27+'Hist_Financials'!D30)),0.01),999))</f>
        <v/>
      </c>
      <c r="N6" s="218">
        <f>IF('Hist_Financials'!D6=0,"— NO DATA —",IF(OR((IFERROR(( (('Hist_Financials'!D27-('Hist_Financials'!D27*(1-'Scenario_Library'!M9)))+('Hist_Financials'!D30-('Hist_Financials'!D30*'Scenario_Library'!N9*(1-'Scenario_Library'!O9))))-(MAX(0,'Hist_Financials'!D20+((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-(MAX(0,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)*'Scenario_Library'!V9))+'Hist_Financials'!D12+('Hist_Financials'!D24*'Scenario_Library'!S9)+('Hist_Financials'!D25*'Scenario_Library'!T9)-( (('Hist_Financials'!D6*(1+'Scenario_Library'!E9))*(MAX(0,IFERROR('Hist_Financials'!D21/'Hist_Financials'!D6*365,0)+'Scenario_Library'!I9))/365)-'Hist_Financials'!D21 )-( (IFERROR(('Hist_Financials'!D6*(1+'Scenario_Library'!E9))*(1-(MAX(-0.5,MIN(0.9,IFERROR('Hist_Financials'!D8/'Hist_Financials'!D6,0)+'Scenario_Library'!F9/10000))))*(MAX(0,IFERROR('Hist_Financials'!D22/'Hist_Financials'!D7*365,0)+'Scenario_Library'!J9))/365,0))-'Hist_Financials'!D22 )+( (IFERROR(('Hist_Financials'!D6*(1+'Scenario_Library'!E9))*(1-(MAX(-0.5,MIN(0.9,IFERROR('Hist_Financials'!D8/'Hist_Financials'!D6,0)+'Scenario_Library'!F9/10000))))*(MAX(0,IFERROR('Hist_Financials'!D28/'Hist_Financials'!D7*365,0)+'Scenario_Library'!K9))/365,0))-'Hist_Financials'!D28 ))-('Hist_Financials'!D36*(1-'Scenario_Library'!P9))-('Hist_Financials'!D37*(1-'Scenario_Library'!Q9))-('Hist_Financials'!D38*(1-'Scenario_Library'!R9))-('Hist_Financials'!D27*(1-'Scenario_Library'!M9))-('Hist_Financials'!D30*'Scenario_Library'!N9*(1-'Scenario_Library'!O9)))) )/MAX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,0.01),99))&gt;'Scenario_Setup'!B13,(IFERROR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/MAX(((MAX(0,IFERROR('Hist_Financials'!D14/MAX('Hist_Financials'!D27+'Hist_Financials'!D30,1),0)+'Scenario_Library'!L9/10000))*('Hist_Financials'!D27+'Hist_Financials'!D30)),0.01),999))&lt;'Scenario_Setup'!B12,('Hist_Financials'!D32+(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-(MAX(0,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)*'Scenario_Library'!V9))-('Hist_Financials'!D37*(1-'Scenario_Library'!Q9))-('Hist_Financials'!D38*(1-'Scenario_Library'!R9)))&lt;0,(((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-(MAX(0,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)*'Scenario_Library'!V9))+'Hist_Financials'!D12+('Hist_Financials'!D24*'Scenario_Library'!S9)+('Hist_Financials'!D25*'Scenario_Library'!T9)-( (('Hist_Financials'!D6*(1+'Scenario_Library'!E9))*(MAX(0,IFERROR('Hist_Financials'!D21/'Hist_Financials'!D6*365,0)+'Scenario_Library'!I9))/365)-'Hist_Financials'!D21 )-( (IFERROR(('Hist_Financials'!D6*(1+'Scenario_Library'!E9))*(1-(MAX(-0.5,MIN(0.9,IFERROR('Hist_Financials'!D8/'Hist_Financials'!D6,0)+'Scenario_Library'!F9/10000))))*(MAX(0,IFERROR('Hist_Financials'!D22/'Hist_Financials'!D7*365,0)+'Scenario_Library'!J9))/365,0))-'Hist_Financials'!D22 )+( (IFERROR(('Hist_Financials'!D6*(1+'Scenario_Library'!E9))*(1-(MAX(-0.5,MIN(0.9,IFERROR('Hist_Financials'!D8/'Hist_Financials'!D6,0)+'Scenario_Library'!F9/10000))))*(MAX(0,IFERROR('Hist_Financials'!D28/'Hist_Financials'!D7*365,0)+'Scenario_Library'!K9))/365,0))-'Hist_Financials'!D28 ))-('Hist_Financials'!D36*(1-'Scenario_Library'!P9)))&lt;-0.2*'Hist_Financials'!D6),"CRITICAL",IF(AND((((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-(MAX(0,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)*'Scenario_Library'!V9))+'Hist_Financials'!D12+('Hist_Financials'!D24*'Scenario_Library'!S9)+('Hist_Financials'!D25*'Scenario_Library'!T9)-( (('Hist_Financials'!D6*(1+'Scenario_Library'!E9))*(MAX(0,IFERROR('Hist_Financials'!D21/'Hist_Financials'!D6*365,0)+'Scenario_Library'!I9))/365)-'Hist_Financials'!D21 )-( (IFERROR(('Hist_Financials'!D6*(1+'Scenario_Library'!E9))*(1-(MAX(-0.5,MIN(0.9,IFERROR('Hist_Financials'!D8/'Hist_Financials'!D6,0)+'Scenario_Library'!F9/10000))))*(MAX(0,IFERROR('Hist_Financials'!D22/'Hist_Financials'!D7*365,0)+'Scenario_Library'!J9))/365,0))-'Hist_Financials'!D22 )+( (IFERROR(('Hist_Financials'!D6*(1+'Scenario_Library'!E9))*(1-(MAX(-0.5,MIN(0.9,IFERROR('Hist_Financials'!D8/'Hist_Financials'!D6,0)+'Scenario_Library'!F9/10000))))*(MAX(0,IFERROR('Hist_Financials'!D28/'Hist_Financials'!D7*365,0)+'Scenario_Library'!K9))/365,0))-'Hist_Financials'!D28 ))-('Hist_Financials'!D36*(1-'Scenario_Library'!P9)))&gt;=0,(IFERROR(( (('Hist_Financials'!D27-('Hist_Financials'!D27*(1-'Scenario_Library'!M9)))+('Hist_Financials'!D30-('Hist_Financials'!D30*'Scenario_Library'!N9*(1-'Scenario_Library'!O9))))-(MAX(0,'Hist_Financials'!D20+((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-(MAX(0,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)*'Scenario_Library'!V9))+'Hist_Financials'!D12+('Hist_Financials'!D24*'Scenario_Library'!S9)+('Hist_Financials'!D25*'Scenario_Library'!T9)-( (('Hist_Financials'!D6*(1+'Scenario_Library'!E9))*(MAX(0,IFERROR('Hist_Financials'!D21/'Hist_Financials'!D6*365,0)+'Scenario_Library'!I9))/365)-'Hist_Financials'!D21 )-( (IFERROR(('Hist_Financials'!D6*(1+'Scenario_Library'!E9))*(1-(MAX(-0.5,MIN(0.9,IFERROR('Hist_Financials'!D8/'Hist_Financials'!D6,0)+'Scenario_Library'!F9/10000))))*(MAX(0,IFERROR('Hist_Financials'!D22/'Hist_Financials'!D7*365,0)+'Scenario_Library'!J9))/365,0))-'Hist_Financials'!D22 )+( (IFERROR(('Hist_Financials'!D6*(1+'Scenario_Library'!E9))*(1-(MAX(-0.5,MIN(0.9,IFERROR('Hist_Financials'!D8/'Hist_Financials'!D6,0)+'Scenario_Library'!F9/10000))))*(MAX(0,IFERROR('Hist_Financials'!D28/'Hist_Financials'!D7*365,0)+'Scenario_Library'!K9))/365,0))-'Hist_Financials'!D28 ))-('Hist_Financials'!D36*(1-'Scenario_Library'!P9))-('Hist_Financials'!D37*(1-'Scenario_Library'!Q9))-('Hist_Financials'!D38*(1-'Scenario_Library'!R9))-('Hist_Financials'!D27*(1-'Scenario_Library'!M9))-('Hist_Financials'!D30*'Scenario_Library'!N9*(1-'Scenario_Library'!O9)))) )/MAX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,0.01),99))&lt;3,(IFERROR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/MAX(((MAX(0,IFERROR('Hist_Financials'!D14/MAX('Hist_Financials'!D27+'Hist_Financials'!D30,1),0)+'Scenario_Library'!L9/10000))*('Hist_Financials'!D27+'Hist_Financials'!D30)),0.01),999))&gt;='Scenario_Setup'!B12,('Hist_Financials'!D32+(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-(MAX(0,((((('Hist_Financials'!D6*(1+'Scenario_Library'!E9))*(MAX(-0.5,MIN(0.9,IFERROR('Hist_Financials'!D8/'Hist_Financials'!D6,0)+'Scenario_Library'!F9/10000))))-(MAX(0,'Hist_Financials'!D9*(1+'Scenario_Setup'!B9*('Scenario_Library'!E9)+('Scenario_Library'!G9))))-(MAX(0,'Hist_Financials'!D10*(1+'Scenario_Library'!H9))))-'Hist_Financials'!D12)-((MAX(0,IFERROR('Hist_Financials'!D14/MAX('Hist_Financials'!D27+'Hist_Financials'!D30,1),0)+'Scenario_Library'!L9/10000))*('Hist_Financials'!D27+'Hist_Financials'!D30))-('Hist_Financials'!D24*'Scenario_Library'!S9)-('Hist_Financials'!D25*'Scenario_Library'!T9)-('Hist_Financials'!D6*'Scenario_Library'!U9)))*'Scenario_Library'!V9))-('Hist_Financials'!D37*(1-'Scenario_Library'!Q9))-('Hist_Financials'!D38*(1-'Scenario_Library'!R9)))&gt;0),"RESILIENT","WATCH")))</f>
        <v/>
      </c>
    </row>
    <row r="7" ht="17" customHeight="1" s="28">
      <c r="B7" s="223">
        <f>'Scenario_Library'!A10</f>
        <v/>
      </c>
      <c r="C7" s="224" t="inlineStr">
        <is>
          <t>Light</t>
        </is>
      </c>
      <c r="D7" s="225">
        <f>'Hist_Financials'!D6*(1+'Scenario_Library'!E10)</f>
        <v/>
      </c>
      <c r="E7" s="226">
        <f>('Hist_Financials'!D6*(1+'Scenario_Library'!E10))-'Hist_Financials'!D6</f>
        <v/>
      </c>
      <c r="F7" s="227">
        <f>IFERROR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/('Hist_Financials'!D6*(1+'Scenario_Library'!E10)),0)</f>
        <v/>
      </c>
      <c r="G7" s="225">
        <f>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</f>
        <v/>
      </c>
      <c r="H7" s="226">
        <f>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11</f>
        <v/>
      </c>
      <c r="I7" s="225">
        <f>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-(MAX(0,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)*'Scenario_Library'!V10)</f>
        <v/>
      </c>
      <c r="J7" s="225">
        <f>((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-(MAX(0,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)*'Scenario_Library'!V10))+'Hist_Financials'!D12+('Hist_Financials'!D24*'Scenario_Library'!S10)+('Hist_Financials'!D25*'Scenario_Library'!T10)-( (('Hist_Financials'!D6*(1+'Scenario_Library'!E10))*(MAX(0,IFERROR('Hist_Financials'!D21/'Hist_Financials'!D6*365,0)+'Scenario_Library'!I10))/365)-'Hist_Financials'!D21 )-( (IFERROR(('Hist_Financials'!D6*(1+'Scenario_Library'!E10))*(1-(MAX(-0.5,MIN(0.9,IFERROR('Hist_Financials'!D8/'Hist_Financials'!D6,0)+'Scenario_Library'!F10/10000))))*(MAX(0,IFERROR('Hist_Financials'!D22/'Hist_Financials'!D7*365,0)+'Scenario_Library'!J10))/365,0))-'Hist_Financials'!D22 )+( (IFERROR(('Hist_Financials'!D6*(1+'Scenario_Library'!E10))*(1-(MAX(-0.5,MIN(0.9,IFERROR('Hist_Financials'!D8/'Hist_Financials'!D6,0)+'Scenario_Library'!F10/10000))))*(MAX(0,IFERROR('Hist_Financials'!D28/'Hist_Financials'!D7*365,0)+'Scenario_Library'!K10))/365,0))-'Hist_Financials'!D28 ))-('Hist_Financials'!D36*(1-'Scenario_Library'!P10))</f>
        <v/>
      </c>
      <c r="K7" s="225">
        <f>MAX(0,'Hist_Financials'!D20+((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-(MAX(0,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)*'Scenario_Library'!V10))+'Hist_Financials'!D12+('Hist_Financials'!D24*'Scenario_Library'!S10)+('Hist_Financials'!D25*'Scenario_Library'!T10)-( (('Hist_Financials'!D6*(1+'Scenario_Library'!E10))*(MAX(0,IFERROR('Hist_Financials'!D21/'Hist_Financials'!D6*365,0)+'Scenario_Library'!I10))/365)-'Hist_Financials'!D21 )-( (IFERROR(('Hist_Financials'!D6*(1+'Scenario_Library'!E10))*(1-(MAX(-0.5,MIN(0.9,IFERROR('Hist_Financials'!D8/'Hist_Financials'!D6,0)+'Scenario_Library'!F10/10000))))*(MAX(0,IFERROR('Hist_Financials'!D22/'Hist_Financials'!D7*365,0)+'Scenario_Library'!J10))/365,0))-'Hist_Financials'!D22 )+( (IFERROR(('Hist_Financials'!D6*(1+'Scenario_Library'!E10))*(1-(MAX(-0.5,MIN(0.9,IFERROR('Hist_Financials'!D8/'Hist_Financials'!D6,0)+'Scenario_Library'!F10/10000))))*(MAX(0,IFERROR('Hist_Financials'!D28/'Hist_Financials'!D7*365,0)+'Scenario_Library'!K10))/365,0))-'Hist_Financials'!D28 ))-('Hist_Financials'!D36*(1-'Scenario_Library'!P10))-('Hist_Financials'!D37*(1-'Scenario_Library'!Q10))-('Hist_Financials'!D38*(1-'Scenario_Library'!R10))-('Hist_Financials'!D27*(1-'Scenario_Library'!M10))-('Hist_Financials'!D30*'Scenario_Library'!N10*(1-'Scenario_Library'!O10)))</f>
        <v/>
      </c>
      <c r="L7" s="228">
        <f>IF('Hist_Financials'!D6=0,"",IFERROR(( (('Hist_Financials'!D27-('Hist_Financials'!D27*(1-'Scenario_Library'!M10)))+('Hist_Financials'!D30-('Hist_Financials'!D30*'Scenario_Library'!N10*(1-'Scenario_Library'!O10))))-(MAX(0,'Hist_Financials'!D20+((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-(MAX(0,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)*'Scenario_Library'!V10))+'Hist_Financials'!D12+('Hist_Financials'!D24*'Scenario_Library'!S10)+('Hist_Financials'!D25*'Scenario_Library'!T10)-( (('Hist_Financials'!D6*(1+'Scenario_Library'!E10))*(MAX(0,IFERROR('Hist_Financials'!D21/'Hist_Financials'!D6*365,0)+'Scenario_Library'!I10))/365)-'Hist_Financials'!D21 )-( (IFERROR(('Hist_Financials'!D6*(1+'Scenario_Library'!E10))*(1-(MAX(-0.5,MIN(0.9,IFERROR('Hist_Financials'!D8/'Hist_Financials'!D6,0)+'Scenario_Library'!F10/10000))))*(MAX(0,IFERROR('Hist_Financials'!D22/'Hist_Financials'!D7*365,0)+'Scenario_Library'!J10))/365,0))-'Hist_Financials'!D22 )+( (IFERROR(('Hist_Financials'!D6*(1+'Scenario_Library'!E10))*(1-(MAX(-0.5,MIN(0.9,IFERROR('Hist_Financials'!D8/'Hist_Financials'!D6,0)+'Scenario_Library'!F10/10000))))*(MAX(0,IFERROR('Hist_Financials'!D28/'Hist_Financials'!D7*365,0)+'Scenario_Library'!K10))/365,0))-'Hist_Financials'!D28 ))-('Hist_Financials'!D36*(1-'Scenario_Library'!P10))-('Hist_Financials'!D37*(1-'Scenario_Library'!Q10))-('Hist_Financials'!D38*(1-'Scenario_Library'!R10))-('Hist_Financials'!D27*(1-'Scenario_Library'!M10))-('Hist_Financials'!D30*'Scenario_Library'!N10*(1-'Scenario_Library'!O10)))) )/MAX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,0.01),99))</f>
        <v/>
      </c>
      <c r="M7" s="228">
        <f>IF('Hist_Financials'!D6=0,"",IFERROR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/MAX(((MAX(0,IFERROR('Hist_Financials'!D14/MAX('Hist_Financials'!D27+'Hist_Financials'!D30,1),0)+'Scenario_Library'!L10/10000))*('Hist_Financials'!D27+'Hist_Financials'!D30)),0.01),999))</f>
        <v/>
      </c>
      <c r="N7" s="229">
        <f>IF('Hist_Financials'!D6=0,"— NO DATA —",IF(OR((IFERROR(( (('Hist_Financials'!D27-('Hist_Financials'!D27*(1-'Scenario_Library'!M10)))+('Hist_Financials'!D30-('Hist_Financials'!D30*'Scenario_Library'!N10*(1-'Scenario_Library'!O10))))-(MAX(0,'Hist_Financials'!D20+((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-(MAX(0,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)*'Scenario_Library'!V10))+'Hist_Financials'!D12+('Hist_Financials'!D24*'Scenario_Library'!S10)+('Hist_Financials'!D25*'Scenario_Library'!T10)-( (('Hist_Financials'!D6*(1+'Scenario_Library'!E10))*(MAX(0,IFERROR('Hist_Financials'!D21/'Hist_Financials'!D6*365,0)+'Scenario_Library'!I10))/365)-'Hist_Financials'!D21 )-( (IFERROR(('Hist_Financials'!D6*(1+'Scenario_Library'!E10))*(1-(MAX(-0.5,MIN(0.9,IFERROR('Hist_Financials'!D8/'Hist_Financials'!D6,0)+'Scenario_Library'!F10/10000))))*(MAX(0,IFERROR('Hist_Financials'!D22/'Hist_Financials'!D7*365,0)+'Scenario_Library'!J10))/365,0))-'Hist_Financials'!D22 )+( (IFERROR(('Hist_Financials'!D6*(1+'Scenario_Library'!E10))*(1-(MAX(-0.5,MIN(0.9,IFERROR('Hist_Financials'!D8/'Hist_Financials'!D6,0)+'Scenario_Library'!F10/10000))))*(MAX(0,IFERROR('Hist_Financials'!D28/'Hist_Financials'!D7*365,0)+'Scenario_Library'!K10))/365,0))-'Hist_Financials'!D28 ))-('Hist_Financials'!D36*(1-'Scenario_Library'!P10))-('Hist_Financials'!D37*(1-'Scenario_Library'!Q10))-('Hist_Financials'!D38*(1-'Scenario_Library'!R10))-('Hist_Financials'!D27*(1-'Scenario_Library'!M10))-('Hist_Financials'!D30*'Scenario_Library'!N10*(1-'Scenario_Library'!O10)))) )/MAX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,0.01),99))&gt;'Scenario_Setup'!B13,(IFERROR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/MAX(((MAX(0,IFERROR('Hist_Financials'!D14/MAX('Hist_Financials'!D27+'Hist_Financials'!D30,1),0)+'Scenario_Library'!L10/10000))*('Hist_Financials'!D27+'Hist_Financials'!D30)),0.01),999))&lt;'Scenario_Setup'!B12,('Hist_Financials'!D32+(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-(MAX(0,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)*'Scenario_Library'!V10))-('Hist_Financials'!D37*(1-'Scenario_Library'!Q10))-('Hist_Financials'!D38*(1-'Scenario_Library'!R10)))&lt;0,(((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-(MAX(0,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)*'Scenario_Library'!V10))+'Hist_Financials'!D12+('Hist_Financials'!D24*'Scenario_Library'!S10)+('Hist_Financials'!D25*'Scenario_Library'!T10)-( (('Hist_Financials'!D6*(1+'Scenario_Library'!E10))*(MAX(0,IFERROR('Hist_Financials'!D21/'Hist_Financials'!D6*365,0)+'Scenario_Library'!I10))/365)-'Hist_Financials'!D21 )-( (IFERROR(('Hist_Financials'!D6*(1+'Scenario_Library'!E10))*(1-(MAX(-0.5,MIN(0.9,IFERROR('Hist_Financials'!D8/'Hist_Financials'!D6,0)+'Scenario_Library'!F10/10000))))*(MAX(0,IFERROR('Hist_Financials'!D22/'Hist_Financials'!D7*365,0)+'Scenario_Library'!J10))/365,0))-'Hist_Financials'!D22 )+( (IFERROR(('Hist_Financials'!D6*(1+'Scenario_Library'!E10))*(1-(MAX(-0.5,MIN(0.9,IFERROR('Hist_Financials'!D8/'Hist_Financials'!D6,0)+'Scenario_Library'!F10/10000))))*(MAX(0,IFERROR('Hist_Financials'!D28/'Hist_Financials'!D7*365,0)+'Scenario_Library'!K10))/365,0))-'Hist_Financials'!D28 ))-('Hist_Financials'!D36*(1-'Scenario_Library'!P10)))&lt;-0.2*'Hist_Financials'!D6),"CRITICAL",IF(AND((((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-(MAX(0,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)*'Scenario_Library'!V10))+'Hist_Financials'!D12+('Hist_Financials'!D24*'Scenario_Library'!S10)+('Hist_Financials'!D25*'Scenario_Library'!T10)-( (('Hist_Financials'!D6*(1+'Scenario_Library'!E10))*(MAX(0,IFERROR('Hist_Financials'!D21/'Hist_Financials'!D6*365,0)+'Scenario_Library'!I10))/365)-'Hist_Financials'!D21 )-( (IFERROR(('Hist_Financials'!D6*(1+'Scenario_Library'!E10))*(1-(MAX(-0.5,MIN(0.9,IFERROR('Hist_Financials'!D8/'Hist_Financials'!D6,0)+'Scenario_Library'!F10/10000))))*(MAX(0,IFERROR('Hist_Financials'!D22/'Hist_Financials'!D7*365,0)+'Scenario_Library'!J10))/365,0))-'Hist_Financials'!D22 )+( (IFERROR(('Hist_Financials'!D6*(1+'Scenario_Library'!E10))*(1-(MAX(-0.5,MIN(0.9,IFERROR('Hist_Financials'!D8/'Hist_Financials'!D6,0)+'Scenario_Library'!F10/10000))))*(MAX(0,IFERROR('Hist_Financials'!D28/'Hist_Financials'!D7*365,0)+'Scenario_Library'!K10))/365,0))-'Hist_Financials'!D28 ))-('Hist_Financials'!D36*(1-'Scenario_Library'!P10)))&gt;=0,(IFERROR(( (('Hist_Financials'!D27-('Hist_Financials'!D27*(1-'Scenario_Library'!M10)))+('Hist_Financials'!D30-('Hist_Financials'!D30*'Scenario_Library'!N10*(1-'Scenario_Library'!O10))))-(MAX(0,'Hist_Financials'!D20+((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-(MAX(0,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)*'Scenario_Library'!V10))+'Hist_Financials'!D12+('Hist_Financials'!D24*'Scenario_Library'!S10)+('Hist_Financials'!D25*'Scenario_Library'!T10)-( (('Hist_Financials'!D6*(1+'Scenario_Library'!E10))*(MAX(0,IFERROR('Hist_Financials'!D21/'Hist_Financials'!D6*365,0)+'Scenario_Library'!I10))/365)-'Hist_Financials'!D21 )-( (IFERROR(('Hist_Financials'!D6*(1+'Scenario_Library'!E10))*(1-(MAX(-0.5,MIN(0.9,IFERROR('Hist_Financials'!D8/'Hist_Financials'!D6,0)+'Scenario_Library'!F10/10000))))*(MAX(0,IFERROR('Hist_Financials'!D22/'Hist_Financials'!D7*365,0)+'Scenario_Library'!J10))/365,0))-'Hist_Financials'!D22 )+( (IFERROR(('Hist_Financials'!D6*(1+'Scenario_Library'!E10))*(1-(MAX(-0.5,MIN(0.9,IFERROR('Hist_Financials'!D8/'Hist_Financials'!D6,0)+'Scenario_Library'!F10/10000))))*(MAX(0,IFERROR('Hist_Financials'!D28/'Hist_Financials'!D7*365,0)+'Scenario_Library'!K10))/365,0))-'Hist_Financials'!D28 ))-('Hist_Financials'!D36*(1-'Scenario_Library'!P10))-('Hist_Financials'!D37*(1-'Scenario_Library'!Q10))-('Hist_Financials'!D38*(1-'Scenario_Library'!R10))-('Hist_Financials'!D27*(1-'Scenario_Library'!M10))-('Hist_Financials'!D30*'Scenario_Library'!N10*(1-'Scenario_Library'!O10)))) )/MAX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,0.01),99))&lt;3,(IFERROR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/MAX(((MAX(0,IFERROR('Hist_Financials'!D14/MAX('Hist_Financials'!D27+'Hist_Financials'!D30,1),0)+'Scenario_Library'!L10/10000))*('Hist_Financials'!D27+'Hist_Financials'!D30)),0.01),999))&gt;='Scenario_Setup'!B12,('Hist_Financials'!D32+(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-(MAX(0,((((('Hist_Financials'!D6*(1+'Scenario_Library'!E10))*(MAX(-0.5,MIN(0.9,IFERROR('Hist_Financials'!D8/'Hist_Financials'!D6,0)+'Scenario_Library'!F10/10000))))-(MAX(0,'Hist_Financials'!D9*(1+'Scenario_Setup'!B9*('Scenario_Library'!E10)+('Scenario_Library'!G10))))-(MAX(0,'Hist_Financials'!D10*(1+'Scenario_Library'!H10))))-'Hist_Financials'!D12)-((MAX(0,IFERROR('Hist_Financials'!D14/MAX('Hist_Financials'!D27+'Hist_Financials'!D30,1),0)+'Scenario_Library'!L10/10000))*('Hist_Financials'!D27+'Hist_Financials'!D30))-('Hist_Financials'!D24*'Scenario_Library'!S10)-('Hist_Financials'!D25*'Scenario_Library'!T10)-('Hist_Financials'!D6*'Scenario_Library'!U10)))*'Scenario_Library'!V10))-('Hist_Financials'!D37*(1-'Scenario_Library'!Q10))-('Hist_Financials'!D38*(1-'Scenario_Library'!R10)))&gt;0),"RESILIENT","WATCH")))</f>
        <v/>
      </c>
    </row>
    <row r="8" ht="17" customHeight="1" s="28">
      <c r="B8" s="230">
        <f>'Scenario_Library'!A11</f>
        <v/>
      </c>
      <c r="C8" s="231" t="inlineStr">
        <is>
          <t>Base</t>
        </is>
      </c>
      <c r="D8" s="215">
        <f>'Hist_Financials'!D6*(1+'Scenario_Library'!E11)</f>
        <v/>
      </c>
      <c r="E8" s="213">
        <f>('Hist_Financials'!D6*(1+'Scenario_Library'!E11))-'Hist_Financials'!D6</f>
        <v/>
      </c>
      <c r="F8" s="214">
        <f>IFERROR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/('Hist_Financials'!D6*(1+'Scenario_Library'!E11)),0)</f>
        <v/>
      </c>
      <c r="G8" s="215">
        <f>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</f>
        <v/>
      </c>
      <c r="H8" s="213">
        <f>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11</f>
        <v/>
      </c>
      <c r="I8" s="215">
        <f>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-(MAX(0,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)*'Scenario_Library'!V11)</f>
        <v/>
      </c>
      <c r="J8" s="215">
        <f>((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-(MAX(0,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)*'Scenario_Library'!V11))+'Hist_Financials'!D12+('Hist_Financials'!D24*'Scenario_Library'!S11)+('Hist_Financials'!D25*'Scenario_Library'!T11)-( (('Hist_Financials'!D6*(1+'Scenario_Library'!E11))*(MAX(0,IFERROR('Hist_Financials'!D21/'Hist_Financials'!D6*365,0)+'Scenario_Library'!I11))/365)-'Hist_Financials'!D21 )-( (IFERROR(('Hist_Financials'!D6*(1+'Scenario_Library'!E11))*(1-(MAX(-0.5,MIN(0.9,IFERROR('Hist_Financials'!D8/'Hist_Financials'!D6,0)+'Scenario_Library'!F11/10000))))*(MAX(0,IFERROR('Hist_Financials'!D22/'Hist_Financials'!D7*365,0)+'Scenario_Library'!J11))/365,0))-'Hist_Financials'!D22 )+( (IFERROR(('Hist_Financials'!D6*(1+'Scenario_Library'!E11))*(1-(MAX(-0.5,MIN(0.9,IFERROR('Hist_Financials'!D8/'Hist_Financials'!D6,0)+'Scenario_Library'!F11/10000))))*(MAX(0,IFERROR('Hist_Financials'!D28/'Hist_Financials'!D7*365,0)+'Scenario_Library'!K11))/365,0))-'Hist_Financials'!D28 ))-('Hist_Financials'!D36*(1-'Scenario_Library'!P11))</f>
        <v/>
      </c>
      <c r="K8" s="215">
        <f>MAX(0,'Hist_Financials'!D20+((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-(MAX(0,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)*'Scenario_Library'!V11))+'Hist_Financials'!D12+('Hist_Financials'!D24*'Scenario_Library'!S11)+('Hist_Financials'!D25*'Scenario_Library'!T11)-( (('Hist_Financials'!D6*(1+'Scenario_Library'!E11))*(MAX(0,IFERROR('Hist_Financials'!D21/'Hist_Financials'!D6*365,0)+'Scenario_Library'!I11))/365)-'Hist_Financials'!D21 )-( (IFERROR(('Hist_Financials'!D6*(1+'Scenario_Library'!E11))*(1-(MAX(-0.5,MIN(0.9,IFERROR('Hist_Financials'!D8/'Hist_Financials'!D6,0)+'Scenario_Library'!F11/10000))))*(MAX(0,IFERROR('Hist_Financials'!D22/'Hist_Financials'!D7*365,0)+'Scenario_Library'!J11))/365,0))-'Hist_Financials'!D22 )+( (IFERROR(('Hist_Financials'!D6*(1+'Scenario_Library'!E11))*(1-(MAX(-0.5,MIN(0.9,IFERROR('Hist_Financials'!D8/'Hist_Financials'!D6,0)+'Scenario_Library'!F11/10000))))*(MAX(0,IFERROR('Hist_Financials'!D28/'Hist_Financials'!D7*365,0)+'Scenario_Library'!K11))/365,0))-'Hist_Financials'!D28 ))-('Hist_Financials'!D36*(1-'Scenario_Library'!P11))-('Hist_Financials'!D37*(1-'Scenario_Library'!Q11))-('Hist_Financials'!D38*(1-'Scenario_Library'!R11))-('Hist_Financials'!D27*(1-'Scenario_Library'!M11))-('Hist_Financials'!D30*'Scenario_Library'!N11*(1-'Scenario_Library'!O11)))</f>
        <v/>
      </c>
      <c r="L8" s="216">
        <f>IF('Hist_Financials'!D6=0,"",IFERROR(( (('Hist_Financials'!D27-('Hist_Financials'!D27*(1-'Scenario_Library'!M11)))+('Hist_Financials'!D30-('Hist_Financials'!D30*'Scenario_Library'!N11*(1-'Scenario_Library'!O11))))-(MAX(0,'Hist_Financials'!D20+((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-(MAX(0,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)*'Scenario_Library'!V11))+'Hist_Financials'!D12+('Hist_Financials'!D24*'Scenario_Library'!S11)+('Hist_Financials'!D25*'Scenario_Library'!T11)-( (('Hist_Financials'!D6*(1+'Scenario_Library'!E11))*(MAX(0,IFERROR('Hist_Financials'!D21/'Hist_Financials'!D6*365,0)+'Scenario_Library'!I11))/365)-'Hist_Financials'!D21 )-( (IFERROR(('Hist_Financials'!D6*(1+'Scenario_Library'!E11))*(1-(MAX(-0.5,MIN(0.9,IFERROR('Hist_Financials'!D8/'Hist_Financials'!D6,0)+'Scenario_Library'!F11/10000))))*(MAX(0,IFERROR('Hist_Financials'!D22/'Hist_Financials'!D7*365,0)+'Scenario_Library'!J11))/365,0))-'Hist_Financials'!D22 )+( (IFERROR(('Hist_Financials'!D6*(1+'Scenario_Library'!E11))*(1-(MAX(-0.5,MIN(0.9,IFERROR('Hist_Financials'!D8/'Hist_Financials'!D6,0)+'Scenario_Library'!F11/10000))))*(MAX(0,IFERROR('Hist_Financials'!D28/'Hist_Financials'!D7*365,0)+'Scenario_Library'!K11))/365,0))-'Hist_Financials'!D28 ))-('Hist_Financials'!D36*(1-'Scenario_Library'!P11))-('Hist_Financials'!D37*(1-'Scenario_Library'!Q11))-('Hist_Financials'!D38*(1-'Scenario_Library'!R11))-('Hist_Financials'!D27*(1-'Scenario_Library'!M11))-('Hist_Financials'!D30*'Scenario_Library'!N11*(1-'Scenario_Library'!O11)))) )/MAX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,0.01),99))</f>
        <v/>
      </c>
      <c r="M8" s="216">
        <f>IF('Hist_Financials'!D6=0,"",IFERROR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/MAX(((MAX(0,IFERROR('Hist_Financials'!D14/MAX('Hist_Financials'!D27+'Hist_Financials'!D30,1),0)+'Scenario_Library'!L11/10000))*('Hist_Financials'!D27+'Hist_Financials'!D30)),0.01),999))</f>
        <v/>
      </c>
      <c r="N8" s="212">
        <f>IF('Hist_Financials'!D6=0,"— NO DATA —",IF(OR((IFERROR(( (('Hist_Financials'!D27-('Hist_Financials'!D27*(1-'Scenario_Library'!M11)))+('Hist_Financials'!D30-('Hist_Financials'!D30*'Scenario_Library'!N11*(1-'Scenario_Library'!O11))))-(MAX(0,'Hist_Financials'!D20+((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-(MAX(0,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)*'Scenario_Library'!V11))+'Hist_Financials'!D12+('Hist_Financials'!D24*'Scenario_Library'!S11)+('Hist_Financials'!D25*'Scenario_Library'!T11)-( (('Hist_Financials'!D6*(1+'Scenario_Library'!E11))*(MAX(0,IFERROR('Hist_Financials'!D21/'Hist_Financials'!D6*365,0)+'Scenario_Library'!I11))/365)-'Hist_Financials'!D21 )-( (IFERROR(('Hist_Financials'!D6*(1+'Scenario_Library'!E11))*(1-(MAX(-0.5,MIN(0.9,IFERROR('Hist_Financials'!D8/'Hist_Financials'!D6,0)+'Scenario_Library'!F11/10000))))*(MAX(0,IFERROR('Hist_Financials'!D22/'Hist_Financials'!D7*365,0)+'Scenario_Library'!J11))/365,0))-'Hist_Financials'!D22 )+( (IFERROR(('Hist_Financials'!D6*(1+'Scenario_Library'!E11))*(1-(MAX(-0.5,MIN(0.9,IFERROR('Hist_Financials'!D8/'Hist_Financials'!D6,0)+'Scenario_Library'!F11/10000))))*(MAX(0,IFERROR('Hist_Financials'!D28/'Hist_Financials'!D7*365,0)+'Scenario_Library'!K11))/365,0))-'Hist_Financials'!D28 ))-('Hist_Financials'!D36*(1-'Scenario_Library'!P11))-('Hist_Financials'!D37*(1-'Scenario_Library'!Q11))-('Hist_Financials'!D38*(1-'Scenario_Library'!R11))-('Hist_Financials'!D27*(1-'Scenario_Library'!M11))-('Hist_Financials'!D30*'Scenario_Library'!N11*(1-'Scenario_Library'!O11)))) )/MAX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,0.01),99))&gt;'Scenario_Setup'!B13,(IFERROR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/MAX(((MAX(0,IFERROR('Hist_Financials'!D14/MAX('Hist_Financials'!D27+'Hist_Financials'!D30,1),0)+'Scenario_Library'!L11/10000))*('Hist_Financials'!D27+'Hist_Financials'!D30)),0.01),999))&lt;'Scenario_Setup'!B12,('Hist_Financials'!D32+(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-(MAX(0,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)*'Scenario_Library'!V11))-('Hist_Financials'!D37*(1-'Scenario_Library'!Q11))-('Hist_Financials'!D38*(1-'Scenario_Library'!R11)))&lt;0,(((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-(MAX(0,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)*'Scenario_Library'!V11))+'Hist_Financials'!D12+('Hist_Financials'!D24*'Scenario_Library'!S11)+('Hist_Financials'!D25*'Scenario_Library'!T11)-( (('Hist_Financials'!D6*(1+'Scenario_Library'!E11))*(MAX(0,IFERROR('Hist_Financials'!D21/'Hist_Financials'!D6*365,0)+'Scenario_Library'!I11))/365)-'Hist_Financials'!D21 )-( (IFERROR(('Hist_Financials'!D6*(1+'Scenario_Library'!E11))*(1-(MAX(-0.5,MIN(0.9,IFERROR('Hist_Financials'!D8/'Hist_Financials'!D6,0)+'Scenario_Library'!F11/10000))))*(MAX(0,IFERROR('Hist_Financials'!D22/'Hist_Financials'!D7*365,0)+'Scenario_Library'!J11))/365,0))-'Hist_Financials'!D22 )+( (IFERROR(('Hist_Financials'!D6*(1+'Scenario_Library'!E11))*(1-(MAX(-0.5,MIN(0.9,IFERROR('Hist_Financials'!D8/'Hist_Financials'!D6,0)+'Scenario_Library'!F11/10000))))*(MAX(0,IFERROR('Hist_Financials'!D28/'Hist_Financials'!D7*365,0)+'Scenario_Library'!K11))/365,0))-'Hist_Financials'!D28 ))-('Hist_Financials'!D36*(1-'Scenario_Library'!P11)))&lt;-0.2*'Hist_Financials'!D6),"CRITICAL",IF(AND((((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-(MAX(0,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)*'Scenario_Library'!V11))+'Hist_Financials'!D12+('Hist_Financials'!D24*'Scenario_Library'!S11)+('Hist_Financials'!D25*'Scenario_Library'!T11)-( (('Hist_Financials'!D6*(1+'Scenario_Library'!E11))*(MAX(0,IFERROR('Hist_Financials'!D21/'Hist_Financials'!D6*365,0)+'Scenario_Library'!I11))/365)-'Hist_Financials'!D21 )-( (IFERROR(('Hist_Financials'!D6*(1+'Scenario_Library'!E11))*(1-(MAX(-0.5,MIN(0.9,IFERROR('Hist_Financials'!D8/'Hist_Financials'!D6,0)+'Scenario_Library'!F11/10000))))*(MAX(0,IFERROR('Hist_Financials'!D22/'Hist_Financials'!D7*365,0)+'Scenario_Library'!J11))/365,0))-'Hist_Financials'!D22 )+( (IFERROR(('Hist_Financials'!D6*(1+'Scenario_Library'!E11))*(1-(MAX(-0.5,MIN(0.9,IFERROR('Hist_Financials'!D8/'Hist_Financials'!D6,0)+'Scenario_Library'!F11/10000))))*(MAX(0,IFERROR('Hist_Financials'!D28/'Hist_Financials'!D7*365,0)+'Scenario_Library'!K11))/365,0))-'Hist_Financials'!D28 ))-('Hist_Financials'!D36*(1-'Scenario_Library'!P11)))&gt;=0,(IFERROR(( (('Hist_Financials'!D27-('Hist_Financials'!D27*(1-'Scenario_Library'!M11)))+('Hist_Financials'!D30-('Hist_Financials'!D30*'Scenario_Library'!N11*(1-'Scenario_Library'!O11))))-(MAX(0,'Hist_Financials'!D20+((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-(MAX(0,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)*'Scenario_Library'!V11))+'Hist_Financials'!D12+('Hist_Financials'!D24*'Scenario_Library'!S11)+('Hist_Financials'!D25*'Scenario_Library'!T11)-( (('Hist_Financials'!D6*(1+'Scenario_Library'!E11))*(MAX(0,IFERROR('Hist_Financials'!D21/'Hist_Financials'!D6*365,0)+'Scenario_Library'!I11))/365)-'Hist_Financials'!D21 )-( (IFERROR(('Hist_Financials'!D6*(1+'Scenario_Library'!E11))*(1-(MAX(-0.5,MIN(0.9,IFERROR('Hist_Financials'!D8/'Hist_Financials'!D6,0)+'Scenario_Library'!F11/10000))))*(MAX(0,IFERROR('Hist_Financials'!D22/'Hist_Financials'!D7*365,0)+'Scenario_Library'!J11))/365,0))-'Hist_Financials'!D22 )+( (IFERROR(('Hist_Financials'!D6*(1+'Scenario_Library'!E11))*(1-(MAX(-0.5,MIN(0.9,IFERROR('Hist_Financials'!D8/'Hist_Financials'!D6,0)+'Scenario_Library'!F11/10000))))*(MAX(0,IFERROR('Hist_Financials'!D28/'Hist_Financials'!D7*365,0)+'Scenario_Library'!K11))/365,0))-'Hist_Financials'!D28 ))-('Hist_Financials'!D36*(1-'Scenario_Library'!P11))-('Hist_Financials'!D37*(1-'Scenario_Library'!Q11))-('Hist_Financials'!D38*(1-'Scenario_Library'!R11))-('Hist_Financials'!D27*(1-'Scenario_Library'!M11))-('Hist_Financials'!D30*'Scenario_Library'!N11*(1-'Scenario_Library'!O11)))) )/MAX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,0.01),99))&lt;3,(IFERROR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/MAX(((MAX(0,IFERROR('Hist_Financials'!D14/MAX('Hist_Financials'!D27+'Hist_Financials'!D30,1),0)+'Scenario_Library'!L11/10000))*('Hist_Financials'!D27+'Hist_Financials'!D30)),0.01),999))&gt;='Scenario_Setup'!B12,('Hist_Financials'!D32+(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-(MAX(0,((((('Hist_Financials'!D6*(1+'Scenario_Library'!E11))*(MAX(-0.5,MIN(0.9,IFERROR('Hist_Financials'!D8/'Hist_Financials'!D6,0)+'Scenario_Library'!F11/10000))))-(MAX(0,'Hist_Financials'!D9*(1+'Scenario_Setup'!B9*('Scenario_Library'!E11)+('Scenario_Library'!G11))))-(MAX(0,'Hist_Financials'!D10*(1+'Scenario_Library'!H11))))-'Hist_Financials'!D12)-((MAX(0,IFERROR('Hist_Financials'!D14/MAX('Hist_Financials'!D27+'Hist_Financials'!D30,1),0)+'Scenario_Library'!L11/10000))*('Hist_Financials'!D27+'Hist_Financials'!D30))-('Hist_Financials'!D24*'Scenario_Library'!S11)-('Hist_Financials'!D25*'Scenario_Library'!T11)-('Hist_Financials'!D6*'Scenario_Library'!U11)))*'Scenario_Library'!V11))-('Hist_Financials'!D37*(1-'Scenario_Library'!Q11))-('Hist_Financials'!D38*(1-'Scenario_Library'!R11)))&gt;0),"RESILIENT","WATCH")))</f>
        <v/>
      </c>
    </row>
    <row r="9" ht="17" customHeight="1" s="28">
      <c r="B9" s="230">
        <f>'Scenario_Library'!A12</f>
        <v/>
      </c>
      <c r="C9" s="232" t="inlineStr">
        <is>
          <t>Severe</t>
        </is>
      </c>
      <c r="D9" s="221">
        <f>'Hist_Financials'!D6*(1+'Scenario_Library'!E12)</f>
        <v/>
      </c>
      <c r="E9" s="219">
        <f>('Hist_Financials'!D6*(1+'Scenario_Library'!E12))-'Hist_Financials'!D6</f>
        <v/>
      </c>
      <c r="F9" s="220">
        <f>IFERROR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/('Hist_Financials'!D6*(1+'Scenario_Library'!E12)),0)</f>
        <v/>
      </c>
      <c r="G9" s="221">
        <f>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</f>
        <v/>
      </c>
      <c r="H9" s="219">
        <f>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11</f>
        <v/>
      </c>
      <c r="I9" s="221">
        <f>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-(MAX(0,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)*'Scenario_Library'!V12)</f>
        <v/>
      </c>
      <c r="J9" s="221">
        <f>((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-(MAX(0,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)*'Scenario_Library'!V12))+'Hist_Financials'!D12+('Hist_Financials'!D24*'Scenario_Library'!S12)+('Hist_Financials'!D25*'Scenario_Library'!T12)-( (('Hist_Financials'!D6*(1+'Scenario_Library'!E12))*(MAX(0,IFERROR('Hist_Financials'!D21/'Hist_Financials'!D6*365,0)+'Scenario_Library'!I12))/365)-'Hist_Financials'!D21 )-( (IFERROR(('Hist_Financials'!D6*(1+'Scenario_Library'!E12))*(1-(MAX(-0.5,MIN(0.9,IFERROR('Hist_Financials'!D8/'Hist_Financials'!D6,0)+'Scenario_Library'!F12/10000))))*(MAX(0,IFERROR('Hist_Financials'!D22/'Hist_Financials'!D7*365,0)+'Scenario_Library'!J12))/365,0))-'Hist_Financials'!D22 )+( (IFERROR(('Hist_Financials'!D6*(1+'Scenario_Library'!E12))*(1-(MAX(-0.5,MIN(0.9,IFERROR('Hist_Financials'!D8/'Hist_Financials'!D6,0)+'Scenario_Library'!F12/10000))))*(MAX(0,IFERROR('Hist_Financials'!D28/'Hist_Financials'!D7*365,0)+'Scenario_Library'!K12))/365,0))-'Hist_Financials'!D28 ))-('Hist_Financials'!D36*(1-'Scenario_Library'!P12))</f>
        <v/>
      </c>
      <c r="K9" s="221">
        <f>MAX(0,'Hist_Financials'!D20+((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-(MAX(0,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)*'Scenario_Library'!V12))+'Hist_Financials'!D12+('Hist_Financials'!D24*'Scenario_Library'!S12)+('Hist_Financials'!D25*'Scenario_Library'!T12)-( (('Hist_Financials'!D6*(1+'Scenario_Library'!E12))*(MAX(0,IFERROR('Hist_Financials'!D21/'Hist_Financials'!D6*365,0)+'Scenario_Library'!I12))/365)-'Hist_Financials'!D21 )-( (IFERROR(('Hist_Financials'!D6*(1+'Scenario_Library'!E12))*(1-(MAX(-0.5,MIN(0.9,IFERROR('Hist_Financials'!D8/'Hist_Financials'!D6,0)+'Scenario_Library'!F12/10000))))*(MAX(0,IFERROR('Hist_Financials'!D22/'Hist_Financials'!D7*365,0)+'Scenario_Library'!J12))/365,0))-'Hist_Financials'!D22 )+( (IFERROR(('Hist_Financials'!D6*(1+'Scenario_Library'!E12))*(1-(MAX(-0.5,MIN(0.9,IFERROR('Hist_Financials'!D8/'Hist_Financials'!D6,0)+'Scenario_Library'!F12/10000))))*(MAX(0,IFERROR('Hist_Financials'!D28/'Hist_Financials'!D7*365,0)+'Scenario_Library'!K12))/365,0))-'Hist_Financials'!D28 ))-('Hist_Financials'!D36*(1-'Scenario_Library'!P12))-('Hist_Financials'!D37*(1-'Scenario_Library'!Q12))-('Hist_Financials'!D38*(1-'Scenario_Library'!R12))-('Hist_Financials'!D27*(1-'Scenario_Library'!M12))-('Hist_Financials'!D30*'Scenario_Library'!N12*(1-'Scenario_Library'!O12)))</f>
        <v/>
      </c>
      <c r="L9" s="222">
        <f>IF('Hist_Financials'!D6=0,"",IFERROR(( (('Hist_Financials'!D27-('Hist_Financials'!D27*(1-'Scenario_Library'!M12)))+('Hist_Financials'!D30-('Hist_Financials'!D30*'Scenario_Library'!N12*(1-'Scenario_Library'!O12))))-(MAX(0,'Hist_Financials'!D20+((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-(MAX(0,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)*'Scenario_Library'!V12))+'Hist_Financials'!D12+('Hist_Financials'!D24*'Scenario_Library'!S12)+('Hist_Financials'!D25*'Scenario_Library'!T12)-( (('Hist_Financials'!D6*(1+'Scenario_Library'!E12))*(MAX(0,IFERROR('Hist_Financials'!D21/'Hist_Financials'!D6*365,0)+'Scenario_Library'!I12))/365)-'Hist_Financials'!D21 )-( (IFERROR(('Hist_Financials'!D6*(1+'Scenario_Library'!E12))*(1-(MAX(-0.5,MIN(0.9,IFERROR('Hist_Financials'!D8/'Hist_Financials'!D6,0)+'Scenario_Library'!F12/10000))))*(MAX(0,IFERROR('Hist_Financials'!D22/'Hist_Financials'!D7*365,0)+'Scenario_Library'!J12))/365,0))-'Hist_Financials'!D22 )+( (IFERROR(('Hist_Financials'!D6*(1+'Scenario_Library'!E12))*(1-(MAX(-0.5,MIN(0.9,IFERROR('Hist_Financials'!D8/'Hist_Financials'!D6,0)+'Scenario_Library'!F12/10000))))*(MAX(0,IFERROR('Hist_Financials'!D28/'Hist_Financials'!D7*365,0)+'Scenario_Library'!K12))/365,0))-'Hist_Financials'!D28 ))-('Hist_Financials'!D36*(1-'Scenario_Library'!P12))-('Hist_Financials'!D37*(1-'Scenario_Library'!Q12))-('Hist_Financials'!D38*(1-'Scenario_Library'!R12))-('Hist_Financials'!D27*(1-'Scenario_Library'!M12))-('Hist_Financials'!D30*'Scenario_Library'!N12*(1-'Scenario_Library'!O12)))) )/MAX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,0.01),99))</f>
        <v/>
      </c>
      <c r="M9" s="222">
        <f>IF('Hist_Financials'!D6=0,"",IFERROR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/MAX(((MAX(0,IFERROR('Hist_Financials'!D14/MAX('Hist_Financials'!D27+'Hist_Financials'!D30,1),0)+'Scenario_Library'!L12/10000))*('Hist_Financials'!D27+'Hist_Financials'!D30)),0.01),999))</f>
        <v/>
      </c>
      <c r="N9" s="218">
        <f>IF('Hist_Financials'!D6=0,"— NO DATA —",IF(OR((IFERROR(( (('Hist_Financials'!D27-('Hist_Financials'!D27*(1-'Scenario_Library'!M12)))+('Hist_Financials'!D30-('Hist_Financials'!D30*'Scenario_Library'!N12*(1-'Scenario_Library'!O12))))-(MAX(0,'Hist_Financials'!D20+((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-(MAX(0,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)*'Scenario_Library'!V12))+'Hist_Financials'!D12+('Hist_Financials'!D24*'Scenario_Library'!S12)+('Hist_Financials'!D25*'Scenario_Library'!T12)-( (('Hist_Financials'!D6*(1+'Scenario_Library'!E12))*(MAX(0,IFERROR('Hist_Financials'!D21/'Hist_Financials'!D6*365,0)+'Scenario_Library'!I12))/365)-'Hist_Financials'!D21 )-( (IFERROR(('Hist_Financials'!D6*(1+'Scenario_Library'!E12))*(1-(MAX(-0.5,MIN(0.9,IFERROR('Hist_Financials'!D8/'Hist_Financials'!D6,0)+'Scenario_Library'!F12/10000))))*(MAX(0,IFERROR('Hist_Financials'!D22/'Hist_Financials'!D7*365,0)+'Scenario_Library'!J12))/365,0))-'Hist_Financials'!D22 )+( (IFERROR(('Hist_Financials'!D6*(1+'Scenario_Library'!E12))*(1-(MAX(-0.5,MIN(0.9,IFERROR('Hist_Financials'!D8/'Hist_Financials'!D6,0)+'Scenario_Library'!F12/10000))))*(MAX(0,IFERROR('Hist_Financials'!D28/'Hist_Financials'!D7*365,0)+'Scenario_Library'!K12))/365,0))-'Hist_Financials'!D28 ))-('Hist_Financials'!D36*(1-'Scenario_Library'!P12))-('Hist_Financials'!D37*(1-'Scenario_Library'!Q12))-('Hist_Financials'!D38*(1-'Scenario_Library'!R12))-('Hist_Financials'!D27*(1-'Scenario_Library'!M12))-('Hist_Financials'!D30*'Scenario_Library'!N12*(1-'Scenario_Library'!O12)))) )/MAX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,0.01),99))&gt;'Scenario_Setup'!B13,(IFERROR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/MAX(((MAX(0,IFERROR('Hist_Financials'!D14/MAX('Hist_Financials'!D27+'Hist_Financials'!D30,1),0)+'Scenario_Library'!L12/10000))*('Hist_Financials'!D27+'Hist_Financials'!D30)),0.01),999))&lt;'Scenario_Setup'!B12,('Hist_Financials'!D32+(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-(MAX(0,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)*'Scenario_Library'!V12))-('Hist_Financials'!D37*(1-'Scenario_Library'!Q12))-('Hist_Financials'!D38*(1-'Scenario_Library'!R12)))&lt;0,(((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-(MAX(0,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)*'Scenario_Library'!V12))+'Hist_Financials'!D12+('Hist_Financials'!D24*'Scenario_Library'!S12)+('Hist_Financials'!D25*'Scenario_Library'!T12)-( (('Hist_Financials'!D6*(1+'Scenario_Library'!E12))*(MAX(0,IFERROR('Hist_Financials'!D21/'Hist_Financials'!D6*365,0)+'Scenario_Library'!I12))/365)-'Hist_Financials'!D21 )-( (IFERROR(('Hist_Financials'!D6*(1+'Scenario_Library'!E12))*(1-(MAX(-0.5,MIN(0.9,IFERROR('Hist_Financials'!D8/'Hist_Financials'!D6,0)+'Scenario_Library'!F12/10000))))*(MAX(0,IFERROR('Hist_Financials'!D22/'Hist_Financials'!D7*365,0)+'Scenario_Library'!J12))/365,0))-'Hist_Financials'!D22 )+( (IFERROR(('Hist_Financials'!D6*(1+'Scenario_Library'!E12))*(1-(MAX(-0.5,MIN(0.9,IFERROR('Hist_Financials'!D8/'Hist_Financials'!D6,0)+'Scenario_Library'!F12/10000))))*(MAX(0,IFERROR('Hist_Financials'!D28/'Hist_Financials'!D7*365,0)+'Scenario_Library'!K12))/365,0))-'Hist_Financials'!D28 ))-('Hist_Financials'!D36*(1-'Scenario_Library'!P12)))&lt;-0.2*'Hist_Financials'!D6),"CRITICAL",IF(AND((((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-(MAX(0,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)*'Scenario_Library'!V12))+'Hist_Financials'!D12+('Hist_Financials'!D24*'Scenario_Library'!S12)+('Hist_Financials'!D25*'Scenario_Library'!T12)-( (('Hist_Financials'!D6*(1+'Scenario_Library'!E12))*(MAX(0,IFERROR('Hist_Financials'!D21/'Hist_Financials'!D6*365,0)+'Scenario_Library'!I12))/365)-'Hist_Financials'!D21 )-( (IFERROR(('Hist_Financials'!D6*(1+'Scenario_Library'!E12))*(1-(MAX(-0.5,MIN(0.9,IFERROR('Hist_Financials'!D8/'Hist_Financials'!D6,0)+'Scenario_Library'!F12/10000))))*(MAX(0,IFERROR('Hist_Financials'!D22/'Hist_Financials'!D7*365,0)+'Scenario_Library'!J12))/365,0))-'Hist_Financials'!D22 )+( (IFERROR(('Hist_Financials'!D6*(1+'Scenario_Library'!E12))*(1-(MAX(-0.5,MIN(0.9,IFERROR('Hist_Financials'!D8/'Hist_Financials'!D6,0)+'Scenario_Library'!F12/10000))))*(MAX(0,IFERROR('Hist_Financials'!D28/'Hist_Financials'!D7*365,0)+'Scenario_Library'!K12))/365,0))-'Hist_Financials'!D28 ))-('Hist_Financials'!D36*(1-'Scenario_Library'!P12)))&gt;=0,(IFERROR(( (('Hist_Financials'!D27-('Hist_Financials'!D27*(1-'Scenario_Library'!M12)))+('Hist_Financials'!D30-('Hist_Financials'!D30*'Scenario_Library'!N12*(1-'Scenario_Library'!O12))))-(MAX(0,'Hist_Financials'!D20+((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-(MAX(0,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)*'Scenario_Library'!V12))+'Hist_Financials'!D12+('Hist_Financials'!D24*'Scenario_Library'!S12)+('Hist_Financials'!D25*'Scenario_Library'!T12)-( (('Hist_Financials'!D6*(1+'Scenario_Library'!E12))*(MAX(0,IFERROR('Hist_Financials'!D21/'Hist_Financials'!D6*365,0)+'Scenario_Library'!I12))/365)-'Hist_Financials'!D21 )-( (IFERROR(('Hist_Financials'!D6*(1+'Scenario_Library'!E12))*(1-(MAX(-0.5,MIN(0.9,IFERROR('Hist_Financials'!D8/'Hist_Financials'!D6,0)+'Scenario_Library'!F12/10000))))*(MAX(0,IFERROR('Hist_Financials'!D22/'Hist_Financials'!D7*365,0)+'Scenario_Library'!J12))/365,0))-'Hist_Financials'!D22 )+( (IFERROR(('Hist_Financials'!D6*(1+'Scenario_Library'!E12))*(1-(MAX(-0.5,MIN(0.9,IFERROR('Hist_Financials'!D8/'Hist_Financials'!D6,0)+'Scenario_Library'!F12/10000))))*(MAX(0,IFERROR('Hist_Financials'!D28/'Hist_Financials'!D7*365,0)+'Scenario_Library'!K12))/365,0))-'Hist_Financials'!D28 ))-('Hist_Financials'!D36*(1-'Scenario_Library'!P12))-('Hist_Financials'!D37*(1-'Scenario_Library'!Q12))-('Hist_Financials'!D38*(1-'Scenario_Library'!R12))-('Hist_Financials'!D27*(1-'Scenario_Library'!M12))-('Hist_Financials'!D30*'Scenario_Library'!N12*(1-'Scenario_Library'!O12)))) )/MAX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,0.01),99))&lt;3,(IFERROR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/MAX(((MAX(0,IFERROR('Hist_Financials'!D14/MAX('Hist_Financials'!D27+'Hist_Financials'!D30,1),0)+'Scenario_Library'!L12/10000))*('Hist_Financials'!D27+'Hist_Financials'!D30)),0.01),999))&gt;='Scenario_Setup'!B12,('Hist_Financials'!D32+(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-(MAX(0,((((('Hist_Financials'!D6*(1+'Scenario_Library'!E12))*(MAX(-0.5,MIN(0.9,IFERROR('Hist_Financials'!D8/'Hist_Financials'!D6,0)+'Scenario_Library'!F12/10000))))-(MAX(0,'Hist_Financials'!D9*(1+'Scenario_Setup'!B9*('Scenario_Library'!E12)+('Scenario_Library'!G12))))-(MAX(0,'Hist_Financials'!D10*(1+'Scenario_Library'!H12))))-'Hist_Financials'!D12)-((MAX(0,IFERROR('Hist_Financials'!D14/MAX('Hist_Financials'!D27+'Hist_Financials'!D30,1),0)+'Scenario_Library'!L12/10000))*('Hist_Financials'!D27+'Hist_Financials'!D30))-('Hist_Financials'!D24*'Scenario_Library'!S12)-('Hist_Financials'!D25*'Scenario_Library'!T12)-('Hist_Financials'!D6*'Scenario_Library'!U12)))*'Scenario_Library'!V12))-('Hist_Financials'!D37*(1-'Scenario_Library'!Q12))-('Hist_Financials'!D38*(1-'Scenario_Library'!R12)))&gt;0),"RESILIENT","WATCH")))</f>
        <v/>
      </c>
    </row>
    <row r="10" ht="17" customHeight="1" s="28">
      <c r="B10" s="223">
        <f>'Scenario_Library'!A13</f>
        <v/>
      </c>
      <c r="C10" s="224" t="inlineStr">
        <is>
          <t>Light</t>
        </is>
      </c>
      <c r="D10" s="225">
        <f>'Hist_Financials'!D6*(1+'Scenario_Library'!E13)</f>
        <v/>
      </c>
      <c r="E10" s="226">
        <f>('Hist_Financials'!D6*(1+'Scenario_Library'!E13))-'Hist_Financials'!D6</f>
        <v/>
      </c>
      <c r="F10" s="227">
        <f>IFERROR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/('Hist_Financials'!D6*(1+'Scenario_Library'!E13)),0)</f>
        <v/>
      </c>
      <c r="G10" s="225">
        <f>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</f>
        <v/>
      </c>
      <c r="H10" s="226">
        <f>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11</f>
        <v/>
      </c>
      <c r="I10" s="225">
        <f>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-(MAX(0,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)*'Scenario_Library'!V13)</f>
        <v/>
      </c>
      <c r="J10" s="225">
        <f>((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-(MAX(0,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)*'Scenario_Library'!V13))+'Hist_Financials'!D12+('Hist_Financials'!D24*'Scenario_Library'!S13)+('Hist_Financials'!D25*'Scenario_Library'!T13)-( (('Hist_Financials'!D6*(1+'Scenario_Library'!E13))*(MAX(0,IFERROR('Hist_Financials'!D21/'Hist_Financials'!D6*365,0)+'Scenario_Library'!I13))/365)-'Hist_Financials'!D21 )-( (IFERROR(('Hist_Financials'!D6*(1+'Scenario_Library'!E13))*(1-(MAX(-0.5,MIN(0.9,IFERROR('Hist_Financials'!D8/'Hist_Financials'!D6,0)+'Scenario_Library'!F13/10000))))*(MAX(0,IFERROR('Hist_Financials'!D22/'Hist_Financials'!D7*365,0)+'Scenario_Library'!J13))/365,0))-'Hist_Financials'!D22 )+( (IFERROR(('Hist_Financials'!D6*(1+'Scenario_Library'!E13))*(1-(MAX(-0.5,MIN(0.9,IFERROR('Hist_Financials'!D8/'Hist_Financials'!D6,0)+'Scenario_Library'!F13/10000))))*(MAX(0,IFERROR('Hist_Financials'!D28/'Hist_Financials'!D7*365,0)+'Scenario_Library'!K13))/365,0))-'Hist_Financials'!D28 ))-('Hist_Financials'!D36*(1-'Scenario_Library'!P13))</f>
        <v/>
      </c>
      <c r="K10" s="225">
        <f>MAX(0,'Hist_Financials'!D20+((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-(MAX(0,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)*'Scenario_Library'!V13))+'Hist_Financials'!D12+('Hist_Financials'!D24*'Scenario_Library'!S13)+('Hist_Financials'!D25*'Scenario_Library'!T13)-( (('Hist_Financials'!D6*(1+'Scenario_Library'!E13))*(MAX(0,IFERROR('Hist_Financials'!D21/'Hist_Financials'!D6*365,0)+'Scenario_Library'!I13))/365)-'Hist_Financials'!D21 )-( (IFERROR(('Hist_Financials'!D6*(1+'Scenario_Library'!E13))*(1-(MAX(-0.5,MIN(0.9,IFERROR('Hist_Financials'!D8/'Hist_Financials'!D6,0)+'Scenario_Library'!F13/10000))))*(MAX(0,IFERROR('Hist_Financials'!D22/'Hist_Financials'!D7*365,0)+'Scenario_Library'!J13))/365,0))-'Hist_Financials'!D22 )+( (IFERROR(('Hist_Financials'!D6*(1+'Scenario_Library'!E13))*(1-(MAX(-0.5,MIN(0.9,IFERROR('Hist_Financials'!D8/'Hist_Financials'!D6,0)+'Scenario_Library'!F13/10000))))*(MAX(0,IFERROR('Hist_Financials'!D28/'Hist_Financials'!D7*365,0)+'Scenario_Library'!K13))/365,0))-'Hist_Financials'!D28 ))-('Hist_Financials'!D36*(1-'Scenario_Library'!P13))-('Hist_Financials'!D37*(1-'Scenario_Library'!Q13))-('Hist_Financials'!D38*(1-'Scenario_Library'!R13))-('Hist_Financials'!D27*(1-'Scenario_Library'!M13))-('Hist_Financials'!D30*'Scenario_Library'!N13*(1-'Scenario_Library'!O13)))</f>
        <v/>
      </c>
      <c r="L10" s="228">
        <f>IF('Hist_Financials'!D6=0,"",IFERROR(( (('Hist_Financials'!D27-('Hist_Financials'!D27*(1-'Scenario_Library'!M13)))+('Hist_Financials'!D30-('Hist_Financials'!D30*'Scenario_Library'!N13*(1-'Scenario_Library'!O13))))-(MAX(0,'Hist_Financials'!D20+((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-(MAX(0,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)*'Scenario_Library'!V13))+'Hist_Financials'!D12+('Hist_Financials'!D24*'Scenario_Library'!S13)+('Hist_Financials'!D25*'Scenario_Library'!T13)-( (('Hist_Financials'!D6*(1+'Scenario_Library'!E13))*(MAX(0,IFERROR('Hist_Financials'!D21/'Hist_Financials'!D6*365,0)+'Scenario_Library'!I13))/365)-'Hist_Financials'!D21 )-( (IFERROR(('Hist_Financials'!D6*(1+'Scenario_Library'!E13))*(1-(MAX(-0.5,MIN(0.9,IFERROR('Hist_Financials'!D8/'Hist_Financials'!D6,0)+'Scenario_Library'!F13/10000))))*(MAX(0,IFERROR('Hist_Financials'!D22/'Hist_Financials'!D7*365,0)+'Scenario_Library'!J13))/365,0))-'Hist_Financials'!D22 )+( (IFERROR(('Hist_Financials'!D6*(1+'Scenario_Library'!E13))*(1-(MAX(-0.5,MIN(0.9,IFERROR('Hist_Financials'!D8/'Hist_Financials'!D6,0)+'Scenario_Library'!F13/10000))))*(MAX(0,IFERROR('Hist_Financials'!D28/'Hist_Financials'!D7*365,0)+'Scenario_Library'!K13))/365,0))-'Hist_Financials'!D28 ))-('Hist_Financials'!D36*(1-'Scenario_Library'!P13))-('Hist_Financials'!D37*(1-'Scenario_Library'!Q13))-('Hist_Financials'!D38*(1-'Scenario_Library'!R13))-('Hist_Financials'!D27*(1-'Scenario_Library'!M13))-('Hist_Financials'!D30*'Scenario_Library'!N13*(1-'Scenario_Library'!O13)))) )/MAX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,0.01),99))</f>
        <v/>
      </c>
      <c r="M10" s="228">
        <f>IF('Hist_Financials'!D6=0,"",IFERROR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/MAX(((MAX(0,IFERROR('Hist_Financials'!D14/MAX('Hist_Financials'!D27+'Hist_Financials'!D30,1),0)+'Scenario_Library'!L13/10000))*('Hist_Financials'!D27+'Hist_Financials'!D30)),0.01),999))</f>
        <v/>
      </c>
      <c r="N10" s="229">
        <f>IF('Hist_Financials'!D6=0,"— NO DATA —",IF(OR((IFERROR(( (('Hist_Financials'!D27-('Hist_Financials'!D27*(1-'Scenario_Library'!M13)))+('Hist_Financials'!D30-('Hist_Financials'!D30*'Scenario_Library'!N13*(1-'Scenario_Library'!O13))))-(MAX(0,'Hist_Financials'!D20+((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-(MAX(0,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)*'Scenario_Library'!V13))+'Hist_Financials'!D12+('Hist_Financials'!D24*'Scenario_Library'!S13)+('Hist_Financials'!D25*'Scenario_Library'!T13)-( (('Hist_Financials'!D6*(1+'Scenario_Library'!E13))*(MAX(0,IFERROR('Hist_Financials'!D21/'Hist_Financials'!D6*365,0)+'Scenario_Library'!I13))/365)-'Hist_Financials'!D21 )-( (IFERROR(('Hist_Financials'!D6*(1+'Scenario_Library'!E13))*(1-(MAX(-0.5,MIN(0.9,IFERROR('Hist_Financials'!D8/'Hist_Financials'!D6,0)+'Scenario_Library'!F13/10000))))*(MAX(0,IFERROR('Hist_Financials'!D22/'Hist_Financials'!D7*365,0)+'Scenario_Library'!J13))/365,0))-'Hist_Financials'!D22 )+( (IFERROR(('Hist_Financials'!D6*(1+'Scenario_Library'!E13))*(1-(MAX(-0.5,MIN(0.9,IFERROR('Hist_Financials'!D8/'Hist_Financials'!D6,0)+'Scenario_Library'!F13/10000))))*(MAX(0,IFERROR('Hist_Financials'!D28/'Hist_Financials'!D7*365,0)+'Scenario_Library'!K13))/365,0))-'Hist_Financials'!D28 ))-('Hist_Financials'!D36*(1-'Scenario_Library'!P13))-('Hist_Financials'!D37*(1-'Scenario_Library'!Q13))-('Hist_Financials'!D38*(1-'Scenario_Library'!R13))-('Hist_Financials'!D27*(1-'Scenario_Library'!M13))-('Hist_Financials'!D30*'Scenario_Library'!N13*(1-'Scenario_Library'!O13)))) )/MAX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,0.01),99))&gt;'Scenario_Setup'!B13,(IFERROR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/MAX(((MAX(0,IFERROR('Hist_Financials'!D14/MAX('Hist_Financials'!D27+'Hist_Financials'!D30,1),0)+'Scenario_Library'!L13/10000))*('Hist_Financials'!D27+'Hist_Financials'!D30)),0.01),999))&lt;'Scenario_Setup'!B12,('Hist_Financials'!D32+(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-(MAX(0,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)*'Scenario_Library'!V13))-('Hist_Financials'!D37*(1-'Scenario_Library'!Q13))-('Hist_Financials'!D38*(1-'Scenario_Library'!R13)))&lt;0,(((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-(MAX(0,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)*'Scenario_Library'!V13))+'Hist_Financials'!D12+('Hist_Financials'!D24*'Scenario_Library'!S13)+('Hist_Financials'!D25*'Scenario_Library'!T13)-( (('Hist_Financials'!D6*(1+'Scenario_Library'!E13))*(MAX(0,IFERROR('Hist_Financials'!D21/'Hist_Financials'!D6*365,0)+'Scenario_Library'!I13))/365)-'Hist_Financials'!D21 )-( (IFERROR(('Hist_Financials'!D6*(1+'Scenario_Library'!E13))*(1-(MAX(-0.5,MIN(0.9,IFERROR('Hist_Financials'!D8/'Hist_Financials'!D6,0)+'Scenario_Library'!F13/10000))))*(MAX(0,IFERROR('Hist_Financials'!D22/'Hist_Financials'!D7*365,0)+'Scenario_Library'!J13))/365,0))-'Hist_Financials'!D22 )+( (IFERROR(('Hist_Financials'!D6*(1+'Scenario_Library'!E13))*(1-(MAX(-0.5,MIN(0.9,IFERROR('Hist_Financials'!D8/'Hist_Financials'!D6,0)+'Scenario_Library'!F13/10000))))*(MAX(0,IFERROR('Hist_Financials'!D28/'Hist_Financials'!D7*365,0)+'Scenario_Library'!K13))/365,0))-'Hist_Financials'!D28 ))-('Hist_Financials'!D36*(1-'Scenario_Library'!P13)))&lt;-0.2*'Hist_Financials'!D6),"CRITICAL",IF(AND((((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-(MAX(0,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)*'Scenario_Library'!V13))+'Hist_Financials'!D12+('Hist_Financials'!D24*'Scenario_Library'!S13)+('Hist_Financials'!D25*'Scenario_Library'!T13)-( (('Hist_Financials'!D6*(1+'Scenario_Library'!E13))*(MAX(0,IFERROR('Hist_Financials'!D21/'Hist_Financials'!D6*365,0)+'Scenario_Library'!I13))/365)-'Hist_Financials'!D21 )-( (IFERROR(('Hist_Financials'!D6*(1+'Scenario_Library'!E13))*(1-(MAX(-0.5,MIN(0.9,IFERROR('Hist_Financials'!D8/'Hist_Financials'!D6,0)+'Scenario_Library'!F13/10000))))*(MAX(0,IFERROR('Hist_Financials'!D22/'Hist_Financials'!D7*365,0)+'Scenario_Library'!J13))/365,0))-'Hist_Financials'!D22 )+( (IFERROR(('Hist_Financials'!D6*(1+'Scenario_Library'!E13))*(1-(MAX(-0.5,MIN(0.9,IFERROR('Hist_Financials'!D8/'Hist_Financials'!D6,0)+'Scenario_Library'!F13/10000))))*(MAX(0,IFERROR('Hist_Financials'!D28/'Hist_Financials'!D7*365,0)+'Scenario_Library'!K13))/365,0))-'Hist_Financials'!D28 ))-('Hist_Financials'!D36*(1-'Scenario_Library'!P13)))&gt;=0,(IFERROR(( (('Hist_Financials'!D27-('Hist_Financials'!D27*(1-'Scenario_Library'!M13)))+('Hist_Financials'!D30-('Hist_Financials'!D30*'Scenario_Library'!N13*(1-'Scenario_Library'!O13))))-(MAX(0,'Hist_Financials'!D20+((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-(MAX(0,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)*'Scenario_Library'!V13))+'Hist_Financials'!D12+('Hist_Financials'!D24*'Scenario_Library'!S13)+('Hist_Financials'!D25*'Scenario_Library'!T13)-( (('Hist_Financials'!D6*(1+'Scenario_Library'!E13))*(MAX(0,IFERROR('Hist_Financials'!D21/'Hist_Financials'!D6*365,0)+'Scenario_Library'!I13))/365)-'Hist_Financials'!D21 )-( (IFERROR(('Hist_Financials'!D6*(1+'Scenario_Library'!E13))*(1-(MAX(-0.5,MIN(0.9,IFERROR('Hist_Financials'!D8/'Hist_Financials'!D6,0)+'Scenario_Library'!F13/10000))))*(MAX(0,IFERROR('Hist_Financials'!D22/'Hist_Financials'!D7*365,0)+'Scenario_Library'!J13))/365,0))-'Hist_Financials'!D22 )+( (IFERROR(('Hist_Financials'!D6*(1+'Scenario_Library'!E13))*(1-(MAX(-0.5,MIN(0.9,IFERROR('Hist_Financials'!D8/'Hist_Financials'!D6,0)+'Scenario_Library'!F13/10000))))*(MAX(0,IFERROR('Hist_Financials'!D28/'Hist_Financials'!D7*365,0)+'Scenario_Library'!K13))/365,0))-'Hist_Financials'!D28 ))-('Hist_Financials'!D36*(1-'Scenario_Library'!P13))-('Hist_Financials'!D37*(1-'Scenario_Library'!Q13))-('Hist_Financials'!D38*(1-'Scenario_Library'!R13))-('Hist_Financials'!D27*(1-'Scenario_Library'!M13))-('Hist_Financials'!D30*'Scenario_Library'!N13*(1-'Scenario_Library'!O13)))) )/MAX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,0.01),99))&lt;3,(IFERROR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/MAX(((MAX(0,IFERROR('Hist_Financials'!D14/MAX('Hist_Financials'!D27+'Hist_Financials'!D30,1),0)+'Scenario_Library'!L13/10000))*('Hist_Financials'!D27+'Hist_Financials'!D30)),0.01),999))&gt;='Scenario_Setup'!B12,('Hist_Financials'!D32+(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-(MAX(0,((((('Hist_Financials'!D6*(1+'Scenario_Library'!E13))*(MAX(-0.5,MIN(0.9,IFERROR('Hist_Financials'!D8/'Hist_Financials'!D6,0)+'Scenario_Library'!F13/10000))))-(MAX(0,'Hist_Financials'!D9*(1+'Scenario_Setup'!B9*('Scenario_Library'!E13)+('Scenario_Library'!G13))))-(MAX(0,'Hist_Financials'!D10*(1+'Scenario_Library'!H13))))-'Hist_Financials'!D12)-((MAX(0,IFERROR('Hist_Financials'!D14/MAX('Hist_Financials'!D27+'Hist_Financials'!D30,1),0)+'Scenario_Library'!L13/10000))*('Hist_Financials'!D27+'Hist_Financials'!D30))-('Hist_Financials'!D24*'Scenario_Library'!S13)-('Hist_Financials'!D25*'Scenario_Library'!T13)-('Hist_Financials'!D6*'Scenario_Library'!U13)))*'Scenario_Library'!V13))-('Hist_Financials'!D37*(1-'Scenario_Library'!Q13))-('Hist_Financials'!D38*(1-'Scenario_Library'!R13)))&gt;0),"RESILIENT","WATCH")))</f>
        <v/>
      </c>
    </row>
    <row r="11" ht="17" customHeight="1" s="28">
      <c r="B11" s="230">
        <f>'Scenario_Library'!A14</f>
        <v/>
      </c>
      <c r="C11" s="231" t="inlineStr">
        <is>
          <t>Base</t>
        </is>
      </c>
      <c r="D11" s="215">
        <f>'Hist_Financials'!D6*(1+'Scenario_Library'!E14)</f>
        <v/>
      </c>
      <c r="E11" s="213">
        <f>('Hist_Financials'!D6*(1+'Scenario_Library'!E14))-'Hist_Financials'!D6</f>
        <v/>
      </c>
      <c r="F11" s="214">
        <f>IFERROR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/('Hist_Financials'!D6*(1+'Scenario_Library'!E14)),0)</f>
        <v/>
      </c>
      <c r="G11" s="215">
        <f>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</f>
        <v/>
      </c>
      <c r="H11" s="213">
        <f>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11</f>
        <v/>
      </c>
      <c r="I11" s="215">
        <f>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-(MAX(0,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)*'Scenario_Library'!V14)</f>
        <v/>
      </c>
      <c r="J11" s="215">
        <f>((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-(MAX(0,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)*'Scenario_Library'!V14))+'Hist_Financials'!D12+('Hist_Financials'!D24*'Scenario_Library'!S14)+('Hist_Financials'!D25*'Scenario_Library'!T14)-( (('Hist_Financials'!D6*(1+'Scenario_Library'!E14))*(MAX(0,IFERROR('Hist_Financials'!D21/'Hist_Financials'!D6*365,0)+'Scenario_Library'!I14))/365)-'Hist_Financials'!D21 )-( (IFERROR(('Hist_Financials'!D6*(1+'Scenario_Library'!E14))*(1-(MAX(-0.5,MIN(0.9,IFERROR('Hist_Financials'!D8/'Hist_Financials'!D6,0)+'Scenario_Library'!F14/10000))))*(MAX(0,IFERROR('Hist_Financials'!D22/'Hist_Financials'!D7*365,0)+'Scenario_Library'!J14))/365,0))-'Hist_Financials'!D22 )+( (IFERROR(('Hist_Financials'!D6*(1+'Scenario_Library'!E14))*(1-(MAX(-0.5,MIN(0.9,IFERROR('Hist_Financials'!D8/'Hist_Financials'!D6,0)+'Scenario_Library'!F14/10000))))*(MAX(0,IFERROR('Hist_Financials'!D28/'Hist_Financials'!D7*365,0)+'Scenario_Library'!K14))/365,0))-'Hist_Financials'!D28 ))-('Hist_Financials'!D36*(1-'Scenario_Library'!P14))</f>
        <v/>
      </c>
      <c r="K11" s="215">
        <f>MAX(0,'Hist_Financials'!D20+((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-(MAX(0,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)*'Scenario_Library'!V14))+'Hist_Financials'!D12+('Hist_Financials'!D24*'Scenario_Library'!S14)+('Hist_Financials'!D25*'Scenario_Library'!T14)-( (('Hist_Financials'!D6*(1+'Scenario_Library'!E14))*(MAX(0,IFERROR('Hist_Financials'!D21/'Hist_Financials'!D6*365,0)+'Scenario_Library'!I14))/365)-'Hist_Financials'!D21 )-( (IFERROR(('Hist_Financials'!D6*(1+'Scenario_Library'!E14))*(1-(MAX(-0.5,MIN(0.9,IFERROR('Hist_Financials'!D8/'Hist_Financials'!D6,0)+'Scenario_Library'!F14/10000))))*(MAX(0,IFERROR('Hist_Financials'!D22/'Hist_Financials'!D7*365,0)+'Scenario_Library'!J14))/365,0))-'Hist_Financials'!D22 )+( (IFERROR(('Hist_Financials'!D6*(1+'Scenario_Library'!E14))*(1-(MAX(-0.5,MIN(0.9,IFERROR('Hist_Financials'!D8/'Hist_Financials'!D6,0)+'Scenario_Library'!F14/10000))))*(MAX(0,IFERROR('Hist_Financials'!D28/'Hist_Financials'!D7*365,0)+'Scenario_Library'!K14))/365,0))-'Hist_Financials'!D28 ))-('Hist_Financials'!D36*(1-'Scenario_Library'!P14))-('Hist_Financials'!D37*(1-'Scenario_Library'!Q14))-('Hist_Financials'!D38*(1-'Scenario_Library'!R14))-('Hist_Financials'!D27*(1-'Scenario_Library'!M14))-('Hist_Financials'!D30*'Scenario_Library'!N14*(1-'Scenario_Library'!O14)))</f>
        <v/>
      </c>
      <c r="L11" s="216">
        <f>IF('Hist_Financials'!D6=0,"",IFERROR(( (('Hist_Financials'!D27-('Hist_Financials'!D27*(1-'Scenario_Library'!M14)))+('Hist_Financials'!D30-('Hist_Financials'!D30*'Scenario_Library'!N14*(1-'Scenario_Library'!O14))))-(MAX(0,'Hist_Financials'!D20+((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-(MAX(0,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)*'Scenario_Library'!V14))+'Hist_Financials'!D12+('Hist_Financials'!D24*'Scenario_Library'!S14)+('Hist_Financials'!D25*'Scenario_Library'!T14)-( (('Hist_Financials'!D6*(1+'Scenario_Library'!E14))*(MAX(0,IFERROR('Hist_Financials'!D21/'Hist_Financials'!D6*365,0)+'Scenario_Library'!I14))/365)-'Hist_Financials'!D21 )-( (IFERROR(('Hist_Financials'!D6*(1+'Scenario_Library'!E14))*(1-(MAX(-0.5,MIN(0.9,IFERROR('Hist_Financials'!D8/'Hist_Financials'!D6,0)+'Scenario_Library'!F14/10000))))*(MAX(0,IFERROR('Hist_Financials'!D22/'Hist_Financials'!D7*365,0)+'Scenario_Library'!J14))/365,0))-'Hist_Financials'!D22 )+( (IFERROR(('Hist_Financials'!D6*(1+'Scenario_Library'!E14))*(1-(MAX(-0.5,MIN(0.9,IFERROR('Hist_Financials'!D8/'Hist_Financials'!D6,0)+'Scenario_Library'!F14/10000))))*(MAX(0,IFERROR('Hist_Financials'!D28/'Hist_Financials'!D7*365,0)+'Scenario_Library'!K14))/365,0))-'Hist_Financials'!D28 ))-('Hist_Financials'!D36*(1-'Scenario_Library'!P14))-('Hist_Financials'!D37*(1-'Scenario_Library'!Q14))-('Hist_Financials'!D38*(1-'Scenario_Library'!R14))-('Hist_Financials'!D27*(1-'Scenario_Library'!M14))-('Hist_Financials'!D30*'Scenario_Library'!N14*(1-'Scenario_Library'!O14)))) )/MAX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,0.01),99))</f>
        <v/>
      </c>
      <c r="M11" s="216">
        <f>IF('Hist_Financials'!D6=0,"",IFERROR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/MAX(((MAX(0,IFERROR('Hist_Financials'!D14/MAX('Hist_Financials'!D27+'Hist_Financials'!D30,1),0)+'Scenario_Library'!L14/10000))*('Hist_Financials'!D27+'Hist_Financials'!D30)),0.01),999))</f>
        <v/>
      </c>
      <c r="N11" s="212">
        <f>IF('Hist_Financials'!D6=0,"— NO DATA —",IF(OR((IFERROR(( (('Hist_Financials'!D27-('Hist_Financials'!D27*(1-'Scenario_Library'!M14)))+('Hist_Financials'!D30-('Hist_Financials'!D30*'Scenario_Library'!N14*(1-'Scenario_Library'!O14))))-(MAX(0,'Hist_Financials'!D20+((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-(MAX(0,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)*'Scenario_Library'!V14))+'Hist_Financials'!D12+('Hist_Financials'!D24*'Scenario_Library'!S14)+('Hist_Financials'!D25*'Scenario_Library'!T14)-( (('Hist_Financials'!D6*(1+'Scenario_Library'!E14))*(MAX(0,IFERROR('Hist_Financials'!D21/'Hist_Financials'!D6*365,0)+'Scenario_Library'!I14))/365)-'Hist_Financials'!D21 )-( (IFERROR(('Hist_Financials'!D6*(1+'Scenario_Library'!E14))*(1-(MAX(-0.5,MIN(0.9,IFERROR('Hist_Financials'!D8/'Hist_Financials'!D6,0)+'Scenario_Library'!F14/10000))))*(MAX(0,IFERROR('Hist_Financials'!D22/'Hist_Financials'!D7*365,0)+'Scenario_Library'!J14))/365,0))-'Hist_Financials'!D22 )+( (IFERROR(('Hist_Financials'!D6*(1+'Scenario_Library'!E14))*(1-(MAX(-0.5,MIN(0.9,IFERROR('Hist_Financials'!D8/'Hist_Financials'!D6,0)+'Scenario_Library'!F14/10000))))*(MAX(0,IFERROR('Hist_Financials'!D28/'Hist_Financials'!D7*365,0)+'Scenario_Library'!K14))/365,0))-'Hist_Financials'!D28 ))-('Hist_Financials'!D36*(1-'Scenario_Library'!P14))-('Hist_Financials'!D37*(1-'Scenario_Library'!Q14))-('Hist_Financials'!D38*(1-'Scenario_Library'!R14))-('Hist_Financials'!D27*(1-'Scenario_Library'!M14))-('Hist_Financials'!D30*'Scenario_Library'!N14*(1-'Scenario_Library'!O14)))) )/MAX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,0.01),99))&gt;'Scenario_Setup'!B13,(IFERROR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/MAX(((MAX(0,IFERROR('Hist_Financials'!D14/MAX('Hist_Financials'!D27+'Hist_Financials'!D30,1),0)+'Scenario_Library'!L14/10000))*('Hist_Financials'!D27+'Hist_Financials'!D30)),0.01),999))&lt;'Scenario_Setup'!B12,('Hist_Financials'!D32+(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-(MAX(0,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)*'Scenario_Library'!V14))-('Hist_Financials'!D37*(1-'Scenario_Library'!Q14))-('Hist_Financials'!D38*(1-'Scenario_Library'!R14)))&lt;0,(((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-(MAX(0,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)*'Scenario_Library'!V14))+'Hist_Financials'!D12+('Hist_Financials'!D24*'Scenario_Library'!S14)+('Hist_Financials'!D25*'Scenario_Library'!T14)-( (('Hist_Financials'!D6*(1+'Scenario_Library'!E14))*(MAX(0,IFERROR('Hist_Financials'!D21/'Hist_Financials'!D6*365,0)+'Scenario_Library'!I14))/365)-'Hist_Financials'!D21 )-( (IFERROR(('Hist_Financials'!D6*(1+'Scenario_Library'!E14))*(1-(MAX(-0.5,MIN(0.9,IFERROR('Hist_Financials'!D8/'Hist_Financials'!D6,0)+'Scenario_Library'!F14/10000))))*(MAX(0,IFERROR('Hist_Financials'!D22/'Hist_Financials'!D7*365,0)+'Scenario_Library'!J14))/365,0))-'Hist_Financials'!D22 )+( (IFERROR(('Hist_Financials'!D6*(1+'Scenario_Library'!E14))*(1-(MAX(-0.5,MIN(0.9,IFERROR('Hist_Financials'!D8/'Hist_Financials'!D6,0)+'Scenario_Library'!F14/10000))))*(MAX(0,IFERROR('Hist_Financials'!D28/'Hist_Financials'!D7*365,0)+'Scenario_Library'!K14))/365,0))-'Hist_Financials'!D28 ))-('Hist_Financials'!D36*(1-'Scenario_Library'!P14)))&lt;-0.2*'Hist_Financials'!D6),"CRITICAL",IF(AND((((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-(MAX(0,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)*'Scenario_Library'!V14))+'Hist_Financials'!D12+('Hist_Financials'!D24*'Scenario_Library'!S14)+('Hist_Financials'!D25*'Scenario_Library'!T14)-( (('Hist_Financials'!D6*(1+'Scenario_Library'!E14))*(MAX(0,IFERROR('Hist_Financials'!D21/'Hist_Financials'!D6*365,0)+'Scenario_Library'!I14))/365)-'Hist_Financials'!D21 )-( (IFERROR(('Hist_Financials'!D6*(1+'Scenario_Library'!E14))*(1-(MAX(-0.5,MIN(0.9,IFERROR('Hist_Financials'!D8/'Hist_Financials'!D6,0)+'Scenario_Library'!F14/10000))))*(MAX(0,IFERROR('Hist_Financials'!D22/'Hist_Financials'!D7*365,0)+'Scenario_Library'!J14))/365,0))-'Hist_Financials'!D22 )+( (IFERROR(('Hist_Financials'!D6*(1+'Scenario_Library'!E14))*(1-(MAX(-0.5,MIN(0.9,IFERROR('Hist_Financials'!D8/'Hist_Financials'!D6,0)+'Scenario_Library'!F14/10000))))*(MAX(0,IFERROR('Hist_Financials'!D28/'Hist_Financials'!D7*365,0)+'Scenario_Library'!K14))/365,0))-'Hist_Financials'!D28 ))-('Hist_Financials'!D36*(1-'Scenario_Library'!P14)))&gt;=0,(IFERROR(( (('Hist_Financials'!D27-('Hist_Financials'!D27*(1-'Scenario_Library'!M14)))+('Hist_Financials'!D30-('Hist_Financials'!D30*'Scenario_Library'!N14*(1-'Scenario_Library'!O14))))-(MAX(0,'Hist_Financials'!D20+((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-(MAX(0,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)*'Scenario_Library'!V14))+'Hist_Financials'!D12+('Hist_Financials'!D24*'Scenario_Library'!S14)+('Hist_Financials'!D25*'Scenario_Library'!T14)-( (('Hist_Financials'!D6*(1+'Scenario_Library'!E14))*(MAX(0,IFERROR('Hist_Financials'!D21/'Hist_Financials'!D6*365,0)+'Scenario_Library'!I14))/365)-'Hist_Financials'!D21 )-( (IFERROR(('Hist_Financials'!D6*(1+'Scenario_Library'!E14))*(1-(MAX(-0.5,MIN(0.9,IFERROR('Hist_Financials'!D8/'Hist_Financials'!D6,0)+'Scenario_Library'!F14/10000))))*(MAX(0,IFERROR('Hist_Financials'!D22/'Hist_Financials'!D7*365,0)+'Scenario_Library'!J14))/365,0))-'Hist_Financials'!D22 )+( (IFERROR(('Hist_Financials'!D6*(1+'Scenario_Library'!E14))*(1-(MAX(-0.5,MIN(0.9,IFERROR('Hist_Financials'!D8/'Hist_Financials'!D6,0)+'Scenario_Library'!F14/10000))))*(MAX(0,IFERROR('Hist_Financials'!D28/'Hist_Financials'!D7*365,0)+'Scenario_Library'!K14))/365,0))-'Hist_Financials'!D28 ))-('Hist_Financials'!D36*(1-'Scenario_Library'!P14))-('Hist_Financials'!D37*(1-'Scenario_Library'!Q14))-('Hist_Financials'!D38*(1-'Scenario_Library'!R14))-('Hist_Financials'!D27*(1-'Scenario_Library'!M14))-('Hist_Financials'!D30*'Scenario_Library'!N14*(1-'Scenario_Library'!O14)))) )/MAX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,0.01),99))&lt;3,(IFERROR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/MAX(((MAX(0,IFERROR('Hist_Financials'!D14/MAX('Hist_Financials'!D27+'Hist_Financials'!D30,1),0)+'Scenario_Library'!L14/10000))*('Hist_Financials'!D27+'Hist_Financials'!D30)),0.01),999))&gt;='Scenario_Setup'!B12,('Hist_Financials'!D32+(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-(MAX(0,((((('Hist_Financials'!D6*(1+'Scenario_Library'!E14))*(MAX(-0.5,MIN(0.9,IFERROR('Hist_Financials'!D8/'Hist_Financials'!D6,0)+'Scenario_Library'!F14/10000))))-(MAX(0,'Hist_Financials'!D9*(1+'Scenario_Setup'!B9*('Scenario_Library'!E14)+('Scenario_Library'!G14))))-(MAX(0,'Hist_Financials'!D10*(1+'Scenario_Library'!H14))))-'Hist_Financials'!D12)-((MAX(0,IFERROR('Hist_Financials'!D14/MAX('Hist_Financials'!D27+'Hist_Financials'!D30,1),0)+'Scenario_Library'!L14/10000))*('Hist_Financials'!D27+'Hist_Financials'!D30))-('Hist_Financials'!D24*'Scenario_Library'!S14)-('Hist_Financials'!D25*'Scenario_Library'!T14)-('Hist_Financials'!D6*'Scenario_Library'!U14)))*'Scenario_Library'!V14))-('Hist_Financials'!D37*(1-'Scenario_Library'!Q14))-('Hist_Financials'!D38*(1-'Scenario_Library'!R14)))&gt;0),"RESILIENT","WATCH")))</f>
        <v/>
      </c>
    </row>
    <row r="12" ht="17" customHeight="1" s="28">
      <c r="B12" s="230">
        <f>'Scenario_Library'!A15</f>
        <v/>
      </c>
      <c r="C12" s="232" t="inlineStr">
        <is>
          <t>Severe</t>
        </is>
      </c>
      <c r="D12" s="221">
        <f>'Hist_Financials'!D6*(1+'Scenario_Library'!E15)</f>
        <v/>
      </c>
      <c r="E12" s="219">
        <f>('Hist_Financials'!D6*(1+'Scenario_Library'!E15))-'Hist_Financials'!D6</f>
        <v/>
      </c>
      <c r="F12" s="220">
        <f>IFERROR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/('Hist_Financials'!D6*(1+'Scenario_Library'!E15)),0)</f>
        <v/>
      </c>
      <c r="G12" s="221">
        <f>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</f>
        <v/>
      </c>
      <c r="H12" s="219">
        <f>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11</f>
        <v/>
      </c>
      <c r="I12" s="221">
        <f>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-(MAX(0,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)*'Scenario_Library'!V15)</f>
        <v/>
      </c>
      <c r="J12" s="221">
        <f>((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-(MAX(0,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)*'Scenario_Library'!V15))+'Hist_Financials'!D12+('Hist_Financials'!D24*'Scenario_Library'!S15)+('Hist_Financials'!D25*'Scenario_Library'!T15)-( (('Hist_Financials'!D6*(1+'Scenario_Library'!E15))*(MAX(0,IFERROR('Hist_Financials'!D21/'Hist_Financials'!D6*365,0)+'Scenario_Library'!I15))/365)-'Hist_Financials'!D21 )-( (IFERROR(('Hist_Financials'!D6*(1+'Scenario_Library'!E15))*(1-(MAX(-0.5,MIN(0.9,IFERROR('Hist_Financials'!D8/'Hist_Financials'!D6,0)+'Scenario_Library'!F15/10000))))*(MAX(0,IFERROR('Hist_Financials'!D22/'Hist_Financials'!D7*365,0)+'Scenario_Library'!J15))/365,0))-'Hist_Financials'!D22 )+( (IFERROR(('Hist_Financials'!D6*(1+'Scenario_Library'!E15))*(1-(MAX(-0.5,MIN(0.9,IFERROR('Hist_Financials'!D8/'Hist_Financials'!D6,0)+'Scenario_Library'!F15/10000))))*(MAX(0,IFERROR('Hist_Financials'!D28/'Hist_Financials'!D7*365,0)+'Scenario_Library'!K15))/365,0))-'Hist_Financials'!D28 ))-('Hist_Financials'!D36*(1-'Scenario_Library'!P15))</f>
        <v/>
      </c>
      <c r="K12" s="221">
        <f>MAX(0,'Hist_Financials'!D20+((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-(MAX(0,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)*'Scenario_Library'!V15))+'Hist_Financials'!D12+('Hist_Financials'!D24*'Scenario_Library'!S15)+('Hist_Financials'!D25*'Scenario_Library'!T15)-( (('Hist_Financials'!D6*(1+'Scenario_Library'!E15))*(MAX(0,IFERROR('Hist_Financials'!D21/'Hist_Financials'!D6*365,0)+'Scenario_Library'!I15))/365)-'Hist_Financials'!D21 )-( (IFERROR(('Hist_Financials'!D6*(1+'Scenario_Library'!E15))*(1-(MAX(-0.5,MIN(0.9,IFERROR('Hist_Financials'!D8/'Hist_Financials'!D6,0)+'Scenario_Library'!F15/10000))))*(MAX(0,IFERROR('Hist_Financials'!D22/'Hist_Financials'!D7*365,0)+'Scenario_Library'!J15))/365,0))-'Hist_Financials'!D22 )+( (IFERROR(('Hist_Financials'!D6*(1+'Scenario_Library'!E15))*(1-(MAX(-0.5,MIN(0.9,IFERROR('Hist_Financials'!D8/'Hist_Financials'!D6,0)+'Scenario_Library'!F15/10000))))*(MAX(0,IFERROR('Hist_Financials'!D28/'Hist_Financials'!D7*365,0)+'Scenario_Library'!K15))/365,0))-'Hist_Financials'!D28 ))-('Hist_Financials'!D36*(1-'Scenario_Library'!P15))-('Hist_Financials'!D37*(1-'Scenario_Library'!Q15))-('Hist_Financials'!D38*(1-'Scenario_Library'!R15))-('Hist_Financials'!D27*(1-'Scenario_Library'!M15))-('Hist_Financials'!D30*'Scenario_Library'!N15*(1-'Scenario_Library'!O15)))</f>
        <v/>
      </c>
      <c r="L12" s="222">
        <f>IF('Hist_Financials'!D6=0,"",IFERROR(( (('Hist_Financials'!D27-('Hist_Financials'!D27*(1-'Scenario_Library'!M15)))+('Hist_Financials'!D30-('Hist_Financials'!D30*'Scenario_Library'!N15*(1-'Scenario_Library'!O15))))-(MAX(0,'Hist_Financials'!D20+((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-(MAX(0,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)*'Scenario_Library'!V15))+'Hist_Financials'!D12+('Hist_Financials'!D24*'Scenario_Library'!S15)+('Hist_Financials'!D25*'Scenario_Library'!T15)-( (('Hist_Financials'!D6*(1+'Scenario_Library'!E15))*(MAX(0,IFERROR('Hist_Financials'!D21/'Hist_Financials'!D6*365,0)+'Scenario_Library'!I15))/365)-'Hist_Financials'!D21 )-( (IFERROR(('Hist_Financials'!D6*(1+'Scenario_Library'!E15))*(1-(MAX(-0.5,MIN(0.9,IFERROR('Hist_Financials'!D8/'Hist_Financials'!D6,0)+'Scenario_Library'!F15/10000))))*(MAX(0,IFERROR('Hist_Financials'!D22/'Hist_Financials'!D7*365,0)+'Scenario_Library'!J15))/365,0))-'Hist_Financials'!D22 )+( (IFERROR(('Hist_Financials'!D6*(1+'Scenario_Library'!E15))*(1-(MAX(-0.5,MIN(0.9,IFERROR('Hist_Financials'!D8/'Hist_Financials'!D6,0)+'Scenario_Library'!F15/10000))))*(MAX(0,IFERROR('Hist_Financials'!D28/'Hist_Financials'!D7*365,0)+'Scenario_Library'!K15))/365,0))-'Hist_Financials'!D28 ))-('Hist_Financials'!D36*(1-'Scenario_Library'!P15))-('Hist_Financials'!D37*(1-'Scenario_Library'!Q15))-('Hist_Financials'!D38*(1-'Scenario_Library'!R15))-('Hist_Financials'!D27*(1-'Scenario_Library'!M15))-('Hist_Financials'!D30*'Scenario_Library'!N15*(1-'Scenario_Library'!O15)))) )/MAX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,0.01),99))</f>
        <v/>
      </c>
      <c r="M12" s="222">
        <f>IF('Hist_Financials'!D6=0,"",IFERROR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/MAX(((MAX(0,IFERROR('Hist_Financials'!D14/MAX('Hist_Financials'!D27+'Hist_Financials'!D30,1),0)+'Scenario_Library'!L15/10000))*('Hist_Financials'!D27+'Hist_Financials'!D30)),0.01),999))</f>
        <v/>
      </c>
      <c r="N12" s="218">
        <f>IF('Hist_Financials'!D6=0,"— NO DATA —",IF(OR((IFERROR(( (('Hist_Financials'!D27-('Hist_Financials'!D27*(1-'Scenario_Library'!M15)))+('Hist_Financials'!D30-('Hist_Financials'!D30*'Scenario_Library'!N15*(1-'Scenario_Library'!O15))))-(MAX(0,'Hist_Financials'!D20+((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-(MAX(0,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)*'Scenario_Library'!V15))+'Hist_Financials'!D12+('Hist_Financials'!D24*'Scenario_Library'!S15)+('Hist_Financials'!D25*'Scenario_Library'!T15)-( (('Hist_Financials'!D6*(1+'Scenario_Library'!E15))*(MAX(0,IFERROR('Hist_Financials'!D21/'Hist_Financials'!D6*365,0)+'Scenario_Library'!I15))/365)-'Hist_Financials'!D21 )-( (IFERROR(('Hist_Financials'!D6*(1+'Scenario_Library'!E15))*(1-(MAX(-0.5,MIN(0.9,IFERROR('Hist_Financials'!D8/'Hist_Financials'!D6,0)+'Scenario_Library'!F15/10000))))*(MAX(0,IFERROR('Hist_Financials'!D22/'Hist_Financials'!D7*365,0)+'Scenario_Library'!J15))/365,0))-'Hist_Financials'!D22 )+( (IFERROR(('Hist_Financials'!D6*(1+'Scenario_Library'!E15))*(1-(MAX(-0.5,MIN(0.9,IFERROR('Hist_Financials'!D8/'Hist_Financials'!D6,0)+'Scenario_Library'!F15/10000))))*(MAX(0,IFERROR('Hist_Financials'!D28/'Hist_Financials'!D7*365,0)+'Scenario_Library'!K15))/365,0))-'Hist_Financials'!D28 ))-('Hist_Financials'!D36*(1-'Scenario_Library'!P15))-('Hist_Financials'!D37*(1-'Scenario_Library'!Q15))-('Hist_Financials'!D38*(1-'Scenario_Library'!R15))-('Hist_Financials'!D27*(1-'Scenario_Library'!M15))-('Hist_Financials'!D30*'Scenario_Library'!N15*(1-'Scenario_Library'!O15)))) )/MAX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,0.01),99))&gt;'Scenario_Setup'!B13,(IFERROR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/MAX(((MAX(0,IFERROR('Hist_Financials'!D14/MAX('Hist_Financials'!D27+'Hist_Financials'!D30,1),0)+'Scenario_Library'!L15/10000))*('Hist_Financials'!D27+'Hist_Financials'!D30)),0.01),999))&lt;'Scenario_Setup'!B12,('Hist_Financials'!D32+(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-(MAX(0,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)*'Scenario_Library'!V15))-('Hist_Financials'!D37*(1-'Scenario_Library'!Q15))-('Hist_Financials'!D38*(1-'Scenario_Library'!R15)))&lt;0,(((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-(MAX(0,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)*'Scenario_Library'!V15))+'Hist_Financials'!D12+('Hist_Financials'!D24*'Scenario_Library'!S15)+('Hist_Financials'!D25*'Scenario_Library'!T15)-( (('Hist_Financials'!D6*(1+'Scenario_Library'!E15))*(MAX(0,IFERROR('Hist_Financials'!D21/'Hist_Financials'!D6*365,0)+'Scenario_Library'!I15))/365)-'Hist_Financials'!D21 )-( (IFERROR(('Hist_Financials'!D6*(1+'Scenario_Library'!E15))*(1-(MAX(-0.5,MIN(0.9,IFERROR('Hist_Financials'!D8/'Hist_Financials'!D6,0)+'Scenario_Library'!F15/10000))))*(MAX(0,IFERROR('Hist_Financials'!D22/'Hist_Financials'!D7*365,0)+'Scenario_Library'!J15))/365,0))-'Hist_Financials'!D22 )+( (IFERROR(('Hist_Financials'!D6*(1+'Scenario_Library'!E15))*(1-(MAX(-0.5,MIN(0.9,IFERROR('Hist_Financials'!D8/'Hist_Financials'!D6,0)+'Scenario_Library'!F15/10000))))*(MAX(0,IFERROR('Hist_Financials'!D28/'Hist_Financials'!D7*365,0)+'Scenario_Library'!K15))/365,0))-'Hist_Financials'!D28 ))-('Hist_Financials'!D36*(1-'Scenario_Library'!P15)))&lt;-0.2*'Hist_Financials'!D6),"CRITICAL",IF(AND((((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-(MAX(0,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)*'Scenario_Library'!V15))+'Hist_Financials'!D12+('Hist_Financials'!D24*'Scenario_Library'!S15)+('Hist_Financials'!D25*'Scenario_Library'!T15)-( (('Hist_Financials'!D6*(1+'Scenario_Library'!E15))*(MAX(0,IFERROR('Hist_Financials'!D21/'Hist_Financials'!D6*365,0)+'Scenario_Library'!I15))/365)-'Hist_Financials'!D21 )-( (IFERROR(('Hist_Financials'!D6*(1+'Scenario_Library'!E15))*(1-(MAX(-0.5,MIN(0.9,IFERROR('Hist_Financials'!D8/'Hist_Financials'!D6,0)+'Scenario_Library'!F15/10000))))*(MAX(0,IFERROR('Hist_Financials'!D22/'Hist_Financials'!D7*365,0)+'Scenario_Library'!J15))/365,0))-'Hist_Financials'!D22 )+( (IFERROR(('Hist_Financials'!D6*(1+'Scenario_Library'!E15))*(1-(MAX(-0.5,MIN(0.9,IFERROR('Hist_Financials'!D8/'Hist_Financials'!D6,0)+'Scenario_Library'!F15/10000))))*(MAX(0,IFERROR('Hist_Financials'!D28/'Hist_Financials'!D7*365,0)+'Scenario_Library'!K15))/365,0))-'Hist_Financials'!D28 ))-('Hist_Financials'!D36*(1-'Scenario_Library'!P15)))&gt;=0,(IFERROR(( (('Hist_Financials'!D27-('Hist_Financials'!D27*(1-'Scenario_Library'!M15)))+('Hist_Financials'!D30-('Hist_Financials'!D30*'Scenario_Library'!N15*(1-'Scenario_Library'!O15))))-(MAX(0,'Hist_Financials'!D20+((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-(MAX(0,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)*'Scenario_Library'!V15))+'Hist_Financials'!D12+('Hist_Financials'!D24*'Scenario_Library'!S15)+('Hist_Financials'!D25*'Scenario_Library'!T15)-( (('Hist_Financials'!D6*(1+'Scenario_Library'!E15))*(MAX(0,IFERROR('Hist_Financials'!D21/'Hist_Financials'!D6*365,0)+'Scenario_Library'!I15))/365)-'Hist_Financials'!D21 )-( (IFERROR(('Hist_Financials'!D6*(1+'Scenario_Library'!E15))*(1-(MAX(-0.5,MIN(0.9,IFERROR('Hist_Financials'!D8/'Hist_Financials'!D6,0)+'Scenario_Library'!F15/10000))))*(MAX(0,IFERROR('Hist_Financials'!D22/'Hist_Financials'!D7*365,0)+'Scenario_Library'!J15))/365,0))-'Hist_Financials'!D22 )+( (IFERROR(('Hist_Financials'!D6*(1+'Scenario_Library'!E15))*(1-(MAX(-0.5,MIN(0.9,IFERROR('Hist_Financials'!D8/'Hist_Financials'!D6,0)+'Scenario_Library'!F15/10000))))*(MAX(0,IFERROR('Hist_Financials'!D28/'Hist_Financials'!D7*365,0)+'Scenario_Library'!K15))/365,0))-'Hist_Financials'!D28 ))-('Hist_Financials'!D36*(1-'Scenario_Library'!P15))-('Hist_Financials'!D37*(1-'Scenario_Library'!Q15))-('Hist_Financials'!D38*(1-'Scenario_Library'!R15))-('Hist_Financials'!D27*(1-'Scenario_Library'!M15))-('Hist_Financials'!D30*'Scenario_Library'!N15*(1-'Scenario_Library'!O15)))) )/MAX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,0.01),99))&lt;3,(IFERROR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/MAX(((MAX(0,IFERROR('Hist_Financials'!D14/MAX('Hist_Financials'!D27+'Hist_Financials'!D30,1),0)+'Scenario_Library'!L15/10000))*('Hist_Financials'!D27+'Hist_Financials'!D30)),0.01),999))&gt;='Scenario_Setup'!B12,('Hist_Financials'!D32+(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-(MAX(0,((((('Hist_Financials'!D6*(1+'Scenario_Library'!E15))*(MAX(-0.5,MIN(0.9,IFERROR('Hist_Financials'!D8/'Hist_Financials'!D6,0)+'Scenario_Library'!F15/10000))))-(MAX(0,'Hist_Financials'!D9*(1+'Scenario_Setup'!B9*('Scenario_Library'!E15)+('Scenario_Library'!G15))))-(MAX(0,'Hist_Financials'!D10*(1+'Scenario_Library'!H15))))-'Hist_Financials'!D12)-((MAX(0,IFERROR('Hist_Financials'!D14/MAX('Hist_Financials'!D27+'Hist_Financials'!D30,1),0)+'Scenario_Library'!L15/10000))*('Hist_Financials'!D27+'Hist_Financials'!D30))-('Hist_Financials'!D24*'Scenario_Library'!S15)-('Hist_Financials'!D25*'Scenario_Library'!T15)-('Hist_Financials'!D6*'Scenario_Library'!U15)))*'Scenario_Library'!V15))-('Hist_Financials'!D37*(1-'Scenario_Library'!Q15))-('Hist_Financials'!D38*(1-'Scenario_Library'!R15)))&gt;0),"RESILIENT","WATCH")))</f>
        <v/>
      </c>
    </row>
    <row r="13" ht="17" customHeight="1" s="28">
      <c r="B13" s="223">
        <f>'Scenario_Library'!A16</f>
        <v/>
      </c>
      <c r="C13" s="224" t="inlineStr">
        <is>
          <t>Light</t>
        </is>
      </c>
      <c r="D13" s="225">
        <f>'Hist_Financials'!D6*(1+'Scenario_Library'!E16)</f>
        <v/>
      </c>
      <c r="E13" s="226">
        <f>('Hist_Financials'!D6*(1+'Scenario_Library'!E16))-'Hist_Financials'!D6</f>
        <v/>
      </c>
      <c r="F13" s="227">
        <f>IFERROR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/('Hist_Financials'!D6*(1+'Scenario_Library'!E16)),0)</f>
        <v/>
      </c>
      <c r="G13" s="225">
        <f>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</f>
        <v/>
      </c>
      <c r="H13" s="226">
        <f>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11</f>
        <v/>
      </c>
      <c r="I13" s="225">
        <f>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-(MAX(0,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)*'Scenario_Library'!V16)</f>
        <v/>
      </c>
      <c r="J13" s="225">
        <f>((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-(MAX(0,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)*'Scenario_Library'!V16))+'Hist_Financials'!D12+('Hist_Financials'!D24*'Scenario_Library'!S16)+('Hist_Financials'!D25*'Scenario_Library'!T16)-( (('Hist_Financials'!D6*(1+'Scenario_Library'!E16))*(MAX(0,IFERROR('Hist_Financials'!D21/'Hist_Financials'!D6*365,0)+'Scenario_Library'!I16))/365)-'Hist_Financials'!D21 )-( (IFERROR(('Hist_Financials'!D6*(1+'Scenario_Library'!E16))*(1-(MAX(-0.5,MIN(0.9,IFERROR('Hist_Financials'!D8/'Hist_Financials'!D6,0)+'Scenario_Library'!F16/10000))))*(MAX(0,IFERROR('Hist_Financials'!D22/'Hist_Financials'!D7*365,0)+'Scenario_Library'!J16))/365,0))-'Hist_Financials'!D22 )+( (IFERROR(('Hist_Financials'!D6*(1+'Scenario_Library'!E16))*(1-(MAX(-0.5,MIN(0.9,IFERROR('Hist_Financials'!D8/'Hist_Financials'!D6,0)+'Scenario_Library'!F16/10000))))*(MAX(0,IFERROR('Hist_Financials'!D28/'Hist_Financials'!D7*365,0)+'Scenario_Library'!K16))/365,0))-'Hist_Financials'!D28 ))-('Hist_Financials'!D36*(1-'Scenario_Library'!P16))</f>
        <v/>
      </c>
      <c r="K13" s="225">
        <f>MAX(0,'Hist_Financials'!D20+((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-(MAX(0,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)*'Scenario_Library'!V16))+'Hist_Financials'!D12+('Hist_Financials'!D24*'Scenario_Library'!S16)+('Hist_Financials'!D25*'Scenario_Library'!T16)-( (('Hist_Financials'!D6*(1+'Scenario_Library'!E16))*(MAX(0,IFERROR('Hist_Financials'!D21/'Hist_Financials'!D6*365,0)+'Scenario_Library'!I16))/365)-'Hist_Financials'!D21 )-( (IFERROR(('Hist_Financials'!D6*(1+'Scenario_Library'!E16))*(1-(MAX(-0.5,MIN(0.9,IFERROR('Hist_Financials'!D8/'Hist_Financials'!D6,0)+'Scenario_Library'!F16/10000))))*(MAX(0,IFERROR('Hist_Financials'!D22/'Hist_Financials'!D7*365,0)+'Scenario_Library'!J16))/365,0))-'Hist_Financials'!D22 )+( (IFERROR(('Hist_Financials'!D6*(1+'Scenario_Library'!E16))*(1-(MAX(-0.5,MIN(0.9,IFERROR('Hist_Financials'!D8/'Hist_Financials'!D6,0)+'Scenario_Library'!F16/10000))))*(MAX(0,IFERROR('Hist_Financials'!D28/'Hist_Financials'!D7*365,0)+'Scenario_Library'!K16))/365,0))-'Hist_Financials'!D28 ))-('Hist_Financials'!D36*(1-'Scenario_Library'!P16))-('Hist_Financials'!D37*(1-'Scenario_Library'!Q16))-('Hist_Financials'!D38*(1-'Scenario_Library'!R16))-('Hist_Financials'!D27*(1-'Scenario_Library'!M16))-('Hist_Financials'!D30*'Scenario_Library'!N16*(1-'Scenario_Library'!O16)))</f>
        <v/>
      </c>
      <c r="L13" s="228">
        <f>IF('Hist_Financials'!D6=0,"",IFERROR(( (('Hist_Financials'!D27-('Hist_Financials'!D27*(1-'Scenario_Library'!M16)))+('Hist_Financials'!D30-('Hist_Financials'!D30*'Scenario_Library'!N16*(1-'Scenario_Library'!O16))))-(MAX(0,'Hist_Financials'!D20+((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-(MAX(0,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)*'Scenario_Library'!V16))+'Hist_Financials'!D12+('Hist_Financials'!D24*'Scenario_Library'!S16)+('Hist_Financials'!D25*'Scenario_Library'!T16)-( (('Hist_Financials'!D6*(1+'Scenario_Library'!E16))*(MAX(0,IFERROR('Hist_Financials'!D21/'Hist_Financials'!D6*365,0)+'Scenario_Library'!I16))/365)-'Hist_Financials'!D21 )-( (IFERROR(('Hist_Financials'!D6*(1+'Scenario_Library'!E16))*(1-(MAX(-0.5,MIN(0.9,IFERROR('Hist_Financials'!D8/'Hist_Financials'!D6,0)+'Scenario_Library'!F16/10000))))*(MAX(0,IFERROR('Hist_Financials'!D22/'Hist_Financials'!D7*365,0)+'Scenario_Library'!J16))/365,0))-'Hist_Financials'!D22 )+( (IFERROR(('Hist_Financials'!D6*(1+'Scenario_Library'!E16))*(1-(MAX(-0.5,MIN(0.9,IFERROR('Hist_Financials'!D8/'Hist_Financials'!D6,0)+'Scenario_Library'!F16/10000))))*(MAX(0,IFERROR('Hist_Financials'!D28/'Hist_Financials'!D7*365,0)+'Scenario_Library'!K16))/365,0))-'Hist_Financials'!D28 ))-('Hist_Financials'!D36*(1-'Scenario_Library'!P16))-('Hist_Financials'!D37*(1-'Scenario_Library'!Q16))-('Hist_Financials'!D38*(1-'Scenario_Library'!R16))-('Hist_Financials'!D27*(1-'Scenario_Library'!M16))-('Hist_Financials'!D30*'Scenario_Library'!N16*(1-'Scenario_Library'!O16)))) )/MAX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,0.01),99))</f>
        <v/>
      </c>
      <c r="M13" s="228">
        <f>IF('Hist_Financials'!D6=0,"",IFERROR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/MAX(((MAX(0,IFERROR('Hist_Financials'!D14/MAX('Hist_Financials'!D27+'Hist_Financials'!D30,1),0)+'Scenario_Library'!L16/10000))*('Hist_Financials'!D27+'Hist_Financials'!D30)),0.01),999))</f>
        <v/>
      </c>
      <c r="N13" s="229">
        <f>IF('Hist_Financials'!D6=0,"— NO DATA —",IF(OR((IFERROR(( (('Hist_Financials'!D27-('Hist_Financials'!D27*(1-'Scenario_Library'!M16)))+('Hist_Financials'!D30-('Hist_Financials'!D30*'Scenario_Library'!N16*(1-'Scenario_Library'!O16))))-(MAX(0,'Hist_Financials'!D20+((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-(MAX(0,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)*'Scenario_Library'!V16))+'Hist_Financials'!D12+('Hist_Financials'!D24*'Scenario_Library'!S16)+('Hist_Financials'!D25*'Scenario_Library'!T16)-( (('Hist_Financials'!D6*(1+'Scenario_Library'!E16))*(MAX(0,IFERROR('Hist_Financials'!D21/'Hist_Financials'!D6*365,0)+'Scenario_Library'!I16))/365)-'Hist_Financials'!D21 )-( (IFERROR(('Hist_Financials'!D6*(1+'Scenario_Library'!E16))*(1-(MAX(-0.5,MIN(0.9,IFERROR('Hist_Financials'!D8/'Hist_Financials'!D6,0)+'Scenario_Library'!F16/10000))))*(MAX(0,IFERROR('Hist_Financials'!D22/'Hist_Financials'!D7*365,0)+'Scenario_Library'!J16))/365,0))-'Hist_Financials'!D22 )+( (IFERROR(('Hist_Financials'!D6*(1+'Scenario_Library'!E16))*(1-(MAX(-0.5,MIN(0.9,IFERROR('Hist_Financials'!D8/'Hist_Financials'!D6,0)+'Scenario_Library'!F16/10000))))*(MAX(0,IFERROR('Hist_Financials'!D28/'Hist_Financials'!D7*365,0)+'Scenario_Library'!K16))/365,0))-'Hist_Financials'!D28 ))-('Hist_Financials'!D36*(1-'Scenario_Library'!P16))-('Hist_Financials'!D37*(1-'Scenario_Library'!Q16))-('Hist_Financials'!D38*(1-'Scenario_Library'!R16))-('Hist_Financials'!D27*(1-'Scenario_Library'!M16))-('Hist_Financials'!D30*'Scenario_Library'!N16*(1-'Scenario_Library'!O16)))) )/MAX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,0.01),99))&gt;'Scenario_Setup'!B13,(IFERROR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/MAX(((MAX(0,IFERROR('Hist_Financials'!D14/MAX('Hist_Financials'!D27+'Hist_Financials'!D30,1),0)+'Scenario_Library'!L16/10000))*('Hist_Financials'!D27+'Hist_Financials'!D30)),0.01),999))&lt;'Scenario_Setup'!B12,('Hist_Financials'!D32+(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-(MAX(0,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)*'Scenario_Library'!V16))-('Hist_Financials'!D37*(1-'Scenario_Library'!Q16))-('Hist_Financials'!D38*(1-'Scenario_Library'!R16)))&lt;0,(((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-(MAX(0,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)*'Scenario_Library'!V16))+'Hist_Financials'!D12+('Hist_Financials'!D24*'Scenario_Library'!S16)+('Hist_Financials'!D25*'Scenario_Library'!T16)-( (('Hist_Financials'!D6*(1+'Scenario_Library'!E16))*(MAX(0,IFERROR('Hist_Financials'!D21/'Hist_Financials'!D6*365,0)+'Scenario_Library'!I16))/365)-'Hist_Financials'!D21 )-( (IFERROR(('Hist_Financials'!D6*(1+'Scenario_Library'!E16))*(1-(MAX(-0.5,MIN(0.9,IFERROR('Hist_Financials'!D8/'Hist_Financials'!D6,0)+'Scenario_Library'!F16/10000))))*(MAX(0,IFERROR('Hist_Financials'!D22/'Hist_Financials'!D7*365,0)+'Scenario_Library'!J16))/365,0))-'Hist_Financials'!D22 )+( (IFERROR(('Hist_Financials'!D6*(1+'Scenario_Library'!E16))*(1-(MAX(-0.5,MIN(0.9,IFERROR('Hist_Financials'!D8/'Hist_Financials'!D6,0)+'Scenario_Library'!F16/10000))))*(MAX(0,IFERROR('Hist_Financials'!D28/'Hist_Financials'!D7*365,0)+'Scenario_Library'!K16))/365,0))-'Hist_Financials'!D28 ))-('Hist_Financials'!D36*(1-'Scenario_Library'!P16)))&lt;-0.2*'Hist_Financials'!D6),"CRITICAL",IF(AND((((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-(MAX(0,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)*'Scenario_Library'!V16))+'Hist_Financials'!D12+('Hist_Financials'!D24*'Scenario_Library'!S16)+('Hist_Financials'!D25*'Scenario_Library'!T16)-( (('Hist_Financials'!D6*(1+'Scenario_Library'!E16))*(MAX(0,IFERROR('Hist_Financials'!D21/'Hist_Financials'!D6*365,0)+'Scenario_Library'!I16))/365)-'Hist_Financials'!D21 )-( (IFERROR(('Hist_Financials'!D6*(1+'Scenario_Library'!E16))*(1-(MAX(-0.5,MIN(0.9,IFERROR('Hist_Financials'!D8/'Hist_Financials'!D6,0)+'Scenario_Library'!F16/10000))))*(MAX(0,IFERROR('Hist_Financials'!D22/'Hist_Financials'!D7*365,0)+'Scenario_Library'!J16))/365,0))-'Hist_Financials'!D22 )+( (IFERROR(('Hist_Financials'!D6*(1+'Scenario_Library'!E16))*(1-(MAX(-0.5,MIN(0.9,IFERROR('Hist_Financials'!D8/'Hist_Financials'!D6,0)+'Scenario_Library'!F16/10000))))*(MAX(0,IFERROR('Hist_Financials'!D28/'Hist_Financials'!D7*365,0)+'Scenario_Library'!K16))/365,0))-'Hist_Financials'!D28 ))-('Hist_Financials'!D36*(1-'Scenario_Library'!P16)))&gt;=0,(IFERROR(( (('Hist_Financials'!D27-('Hist_Financials'!D27*(1-'Scenario_Library'!M16)))+('Hist_Financials'!D30-('Hist_Financials'!D30*'Scenario_Library'!N16*(1-'Scenario_Library'!O16))))-(MAX(0,'Hist_Financials'!D20+((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-(MAX(0,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)*'Scenario_Library'!V16))+'Hist_Financials'!D12+('Hist_Financials'!D24*'Scenario_Library'!S16)+('Hist_Financials'!D25*'Scenario_Library'!T16)-( (('Hist_Financials'!D6*(1+'Scenario_Library'!E16))*(MAX(0,IFERROR('Hist_Financials'!D21/'Hist_Financials'!D6*365,0)+'Scenario_Library'!I16))/365)-'Hist_Financials'!D21 )-( (IFERROR(('Hist_Financials'!D6*(1+'Scenario_Library'!E16))*(1-(MAX(-0.5,MIN(0.9,IFERROR('Hist_Financials'!D8/'Hist_Financials'!D6,0)+'Scenario_Library'!F16/10000))))*(MAX(0,IFERROR('Hist_Financials'!D22/'Hist_Financials'!D7*365,0)+'Scenario_Library'!J16))/365,0))-'Hist_Financials'!D22 )+( (IFERROR(('Hist_Financials'!D6*(1+'Scenario_Library'!E16))*(1-(MAX(-0.5,MIN(0.9,IFERROR('Hist_Financials'!D8/'Hist_Financials'!D6,0)+'Scenario_Library'!F16/10000))))*(MAX(0,IFERROR('Hist_Financials'!D28/'Hist_Financials'!D7*365,0)+'Scenario_Library'!K16))/365,0))-'Hist_Financials'!D28 ))-('Hist_Financials'!D36*(1-'Scenario_Library'!P16))-('Hist_Financials'!D37*(1-'Scenario_Library'!Q16))-('Hist_Financials'!D38*(1-'Scenario_Library'!R16))-('Hist_Financials'!D27*(1-'Scenario_Library'!M16))-('Hist_Financials'!D30*'Scenario_Library'!N16*(1-'Scenario_Library'!O16)))) )/MAX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,0.01),99))&lt;3,(IFERROR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/MAX(((MAX(0,IFERROR('Hist_Financials'!D14/MAX('Hist_Financials'!D27+'Hist_Financials'!D30,1),0)+'Scenario_Library'!L16/10000))*('Hist_Financials'!D27+'Hist_Financials'!D30)),0.01),999))&gt;='Scenario_Setup'!B12,('Hist_Financials'!D32+(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-(MAX(0,((((('Hist_Financials'!D6*(1+'Scenario_Library'!E16))*(MAX(-0.5,MIN(0.9,IFERROR('Hist_Financials'!D8/'Hist_Financials'!D6,0)+'Scenario_Library'!F16/10000))))-(MAX(0,'Hist_Financials'!D9*(1+'Scenario_Setup'!B9*('Scenario_Library'!E16)+('Scenario_Library'!G16))))-(MAX(0,'Hist_Financials'!D10*(1+'Scenario_Library'!H16))))-'Hist_Financials'!D12)-((MAX(0,IFERROR('Hist_Financials'!D14/MAX('Hist_Financials'!D27+'Hist_Financials'!D30,1),0)+'Scenario_Library'!L16/10000))*('Hist_Financials'!D27+'Hist_Financials'!D30))-('Hist_Financials'!D24*'Scenario_Library'!S16)-('Hist_Financials'!D25*'Scenario_Library'!T16)-('Hist_Financials'!D6*'Scenario_Library'!U16)))*'Scenario_Library'!V16))-('Hist_Financials'!D37*(1-'Scenario_Library'!Q16))-('Hist_Financials'!D38*(1-'Scenario_Library'!R16)))&gt;0),"RESILIENT","WATCH")))</f>
        <v/>
      </c>
    </row>
    <row r="14" ht="17" customHeight="1" s="28">
      <c r="B14" s="230">
        <f>'Scenario_Library'!A17</f>
        <v/>
      </c>
      <c r="C14" s="231" t="inlineStr">
        <is>
          <t>Base</t>
        </is>
      </c>
      <c r="D14" s="215">
        <f>'Hist_Financials'!D6*(1+'Scenario_Library'!E17)</f>
        <v/>
      </c>
      <c r="E14" s="213">
        <f>('Hist_Financials'!D6*(1+'Scenario_Library'!E17))-'Hist_Financials'!D6</f>
        <v/>
      </c>
      <c r="F14" s="214">
        <f>IFERROR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/('Hist_Financials'!D6*(1+'Scenario_Library'!E17)),0)</f>
        <v/>
      </c>
      <c r="G14" s="215">
        <f>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</f>
        <v/>
      </c>
      <c r="H14" s="213">
        <f>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11</f>
        <v/>
      </c>
      <c r="I14" s="215">
        <f>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-(MAX(0,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)*'Scenario_Library'!V17)</f>
        <v/>
      </c>
      <c r="J14" s="215">
        <f>((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-(MAX(0,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)*'Scenario_Library'!V17))+'Hist_Financials'!D12+('Hist_Financials'!D24*'Scenario_Library'!S17)+('Hist_Financials'!D25*'Scenario_Library'!T17)-( (('Hist_Financials'!D6*(1+'Scenario_Library'!E17))*(MAX(0,IFERROR('Hist_Financials'!D21/'Hist_Financials'!D6*365,0)+'Scenario_Library'!I17))/365)-'Hist_Financials'!D21 )-( (IFERROR(('Hist_Financials'!D6*(1+'Scenario_Library'!E17))*(1-(MAX(-0.5,MIN(0.9,IFERROR('Hist_Financials'!D8/'Hist_Financials'!D6,0)+'Scenario_Library'!F17/10000))))*(MAX(0,IFERROR('Hist_Financials'!D22/'Hist_Financials'!D7*365,0)+'Scenario_Library'!J17))/365,0))-'Hist_Financials'!D22 )+( (IFERROR(('Hist_Financials'!D6*(1+'Scenario_Library'!E17))*(1-(MAX(-0.5,MIN(0.9,IFERROR('Hist_Financials'!D8/'Hist_Financials'!D6,0)+'Scenario_Library'!F17/10000))))*(MAX(0,IFERROR('Hist_Financials'!D28/'Hist_Financials'!D7*365,0)+'Scenario_Library'!K17))/365,0))-'Hist_Financials'!D28 ))-('Hist_Financials'!D36*(1-'Scenario_Library'!P17))</f>
        <v/>
      </c>
      <c r="K14" s="215">
        <f>MAX(0,'Hist_Financials'!D20+((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-(MAX(0,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)*'Scenario_Library'!V17))+'Hist_Financials'!D12+('Hist_Financials'!D24*'Scenario_Library'!S17)+('Hist_Financials'!D25*'Scenario_Library'!T17)-( (('Hist_Financials'!D6*(1+'Scenario_Library'!E17))*(MAX(0,IFERROR('Hist_Financials'!D21/'Hist_Financials'!D6*365,0)+'Scenario_Library'!I17))/365)-'Hist_Financials'!D21 )-( (IFERROR(('Hist_Financials'!D6*(1+'Scenario_Library'!E17))*(1-(MAX(-0.5,MIN(0.9,IFERROR('Hist_Financials'!D8/'Hist_Financials'!D6,0)+'Scenario_Library'!F17/10000))))*(MAX(0,IFERROR('Hist_Financials'!D22/'Hist_Financials'!D7*365,0)+'Scenario_Library'!J17))/365,0))-'Hist_Financials'!D22 )+( (IFERROR(('Hist_Financials'!D6*(1+'Scenario_Library'!E17))*(1-(MAX(-0.5,MIN(0.9,IFERROR('Hist_Financials'!D8/'Hist_Financials'!D6,0)+'Scenario_Library'!F17/10000))))*(MAX(0,IFERROR('Hist_Financials'!D28/'Hist_Financials'!D7*365,0)+'Scenario_Library'!K17))/365,0))-'Hist_Financials'!D28 ))-('Hist_Financials'!D36*(1-'Scenario_Library'!P17))-('Hist_Financials'!D37*(1-'Scenario_Library'!Q17))-('Hist_Financials'!D38*(1-'Scenario_Library'!R17))-('Hist_Financials'!D27*(1-'Scenario_Library'!M17))-('Hist_Financials'!D30*'Scenario_Library'!N17*(1-'Scenario_Library'!O17)))</f>
        <v/>
      </c>
      <c r="L14" s="216">
        <f>IF('Hist_Financials'!D6=0,"",IFERROR(( (('Hist_Financials'!D27-('Hist_Financials'!D27*(1-'Scenario_Library'!M17)))+('Hist_Financials'!D30-('Hist_Financials'!D30*'Scenario_Library'!N17*(1-'Scenario_Library'!O17))))-(MAX(0,'Hist_Financials'!D20+((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-(MAX(0,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)*'Scenario_Library'!V17))+'Hist_Financials'!D12+('Hist_Financials'!D24*'Scenario_Library'!S17)+('Hist_Financials'!D25*'Scenario_Library'!T17)-( (('Hist_Financials'!D6*(1+'Scenario_Library'!E17))*(MAX(0,IFERROR('Hist_Financials'!D21/'Hist_Financials'!D6*365,0)+'Scenario_Library'!I17))/365)-'Hist_Financials'!D21 )-( (IFERROR(('Hist_Financials'!D6*(1+'Scenario_Library'!E17))*(1-(MAX(-0.5,MIN(0.9,IFERROR('Hist_Financials'!D8/'Hist_Financials'!D6,0)+'Scenario_Library'!F17/10000))))*(MAX(0,IFERROR('Hist_Financials'!D22/'Hist_Financials'!D7*365,0)+'Scenario_Library'!J17))/365,0))-'Hist_Financials'!D22 )+( (IFERROR(('Hist_Financials'!D6*(1+'Scenario_Library'!E17))*(1-(MAX(-0.5,MIN(0.9,IFERROR('Hist_Financials'!D8/'Hist_Financials'!D6,0)+'Scenario_Library'!F17/10000))))*(MAX(0,IFERROR('Hist_Financials'!D28/'Hist_Financials'!D7*365,0)+'Scenario_Library'!K17))/365,0))-'Hist_Financials'!D28 ))-('Hist_Financials'!D36*(1-'Scenario_Library'!P17))-('Hist_Financials'!D37*(1-'Scenario_Library'!Q17))-('Hist_Financials'!D38*(1-'Scenario_Library'!R17))-('Hist_Financials'!D27*(1-'Scenario_Library'!M17))-('Hist_Financials'!D30*'Scenario_Library'!N17*(1-'Scenario_Library'!O17)))) )/MAX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,0.01),99))</f>
        <v/>
      </c>
      <c r="M14" s="216">
        <f>IF('Hist_Financials'!D6=0,"",IFERROR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/MAX(((MAX(0,IFERROR('Hist_Financials'!D14/MAX('Hist_Financials'!D27+'Hist_Financials'!D30,1),0)+'Scenario_Library'!L17/10000))*('Hist_Financials'!D27+'Hist_Financials'!D30)),0.01),999))</f>
        <v/>
      </c>
      <c r="N14" s="212">
        <f>IF('Hist_Financials'!D6=0,"— NO DATA —",IF(OR((IFERROR(( (('Hist_Financials'!D27-('Hist_Financials'!D27*(1-'Scenario_Library'!M17)))+('Hist_Financials'!D30-('Hist_Financials'!D30*'Scenario_Library'!N17*(1-'Scenario_Library'!O17))))-(MAX(0,'Hist_Financials'!D20+((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-(MAX(0,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)*'Scenario_Library'!V17))+'Hist_Financials'!D12+('Hist_Financials'!D24*'Scenario_Library'!S17)+('Hist_Financials'!D25*'Scenario_Library'!T17)-( (('Hist_Financials'!D6*(1+'Scenario_Library'!E17))*(MAX(0,IFERROR('Hist_Financials'!D21/'Hist_Financials'!D6*365,0)+'Scenario_Library'!I17))/365)-'Hist_Financials'!D21 )-( (IFERROR(('Hist_Financials'!D6*(1+'Scenario_Library'!E17))*(1-(MAX(-0.5,MIN(0.9,IFERROR('Hist_Financials'!D8/'Hist_Financials'!D6,0)+'Scenario_Library'!F17/10000))))*(MAX(0,IFERROR('Hist_Financials'!D22/'Hist_Financials'!D7*365,0)+'Scenario_Library'!J17))/365,0))-'Hist_Financials'!D22 )+( (IFERROR(('Hist_Financials'!D6*(1+'Scenario_Library'!E17))*(1-(MAX(-0.5,MIN(0.9,IFERROR('Hist_Financials'!D8/'Hist_Financials'!D6,0)+'Scenario_Library'!F17/10000))))*(MAX(0,IFERROR('Hist_Financials'!D28/'Hist_Financials'!D7*365,0)+'Scenario_Library'!K17))/365,0))-'Hist_Financials'!D28 ))-('Hist_Financials'!D36*(1-'Scenario_Library'!P17))-('Hist_Financials'!D37*(1-'Scenario_Library'!Q17))-('Hist_Financials'!D38*(1-'Scenario_Library'!R17))-('Hist_Financials'!D27*(1-'Scenario_Library'!M17))-('Hist_Financials'!D30*'Scenario_Library'!N17*(1-'Scenario_Library'!O17)))) )/MAX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,0.01),99))&gt;'Scenario_Setup'!B13,(IFERROR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/MAX(((MAX(0,IFERROR('Hist_Financials'!D14/MAX('Hist_Financials'!D27+'Hist_Financials'!D30,1),0)+'Scenario_Library'!L17/10000))*('Hist_Financials'!D27+'Hist_Financials'!D30)),0.01),999))&lt;'Scenario_Setup'!B12,('Hist_Financials'!D32+(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-(MAX(0,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)*'Scenario_Library'!V17))-('Hist_Financials'!D37*(1-'Scenario_Library'!Q17))-('Hist_Financials'!D38*(1-'Scenario_Library'!R17)))&lt;0,(((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-(MAX(0,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)*'Scenario_Library'!V17))+'Hist_Financials'!D12+('Hist_Financials'!D24*'Scenario_Library'!S17)+('Hist_Financials'!D25*'Scenario_Library'!T17)-( (('Hist_Financials'!D6*(1+'Scenario_Library'!E17))*(MAX(0,IFERROR('Hist_Financials'!D21/'Hist_Financials'!D6*365,0)+'Scenario_Library'!I17))/365)-'Hist_Financials'!D21 )-( (IFERROR(('Hist_Financials'!D6*(1+'Scenario_Library'!E17))*(1-(MAX(-0.5,MIN(0.9,IFERROR('Hist_Financials'!D8/'Hist_Financials'!D6,0)+'Scenario_Library'!F17/10000))))*(MAX(0,IFERROR('Hist_Financials'!D22/'Hist_Financials'!D7*365,0)+'Scenario_Library'!J17))/365,0))-'Hist_Financials'!D22 )+( (IFERROR(('Hist_Financials'!D6*(1+'Scenario_Library'!E17))*(1-(MAX(-0.5,MIN(0.9,IFERROR('Hist_Financials'!D8/'Hist_Financials'!D6,0)+'Scenario_Library'!F17/10000))))*(MAX(0,IFERROR('Hist_Financials'!D28/'Hist_Financials'!D7*365,0)+'Scenario_Library'!K17))/365,0))-'Hist_Financials'!D28 ))-('Hist_Financials'!D36*(1-'Scenario_Library'!P17)))&lt;-0.2*'Hist_Financials'!D6),"CRITICAL",IF(AND((((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-(MAX(0,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)*'Scenario_Library'!V17))+'Hist_Financials'!D12+('Hist_Financials'!D24*'Scenario_Library'!S17)+('Hist_Financials'!D25*'Scenario_Library'!T17)-( (('Hist_Financials'!D6*(1+'Scenario_Library'!E17))*(MAX(0,IFERROR('Hist_Financials'!D21/'Hist_Financials'!D6*365,0)+'Scenario_Library'!I17))/365)-'Hist_Financials'!D21 )-( (IFERROR(('Hist_Financials'!D6*(1+'Scenario_Library'!E17))*(1-(MAX(-0.5,MIN(0.9,IFERROR('Hist_Financials'!D8/'Hist_Financials'!D6,0)+'Scenario_Library'!F17/10000))))*(MAX(0,IFERROR('Hist_Financials'!D22/'Hist_Financials'!D7*365,0)+'Scenario_Library'!J17))/365,0))-'Hist_Financials'!D22 )+( (IFERROR(('Hist_Financials'!D6*(1+'Scenario_Library'!E17))*(1-(MAX(-0.5,MIN(0.9,IFERROR('Hist_Financials'!D8/'Hist_Financials'!D6,0)+'Scenario_Library'!F17/10000))))*(MAX(0,IFERROR('Hist_Financials'!D28/'Hist_Financials'!D7*365,0)+'Scenario_Library'!K17))/365,0))-'Hist_Financials'!D28 ))-('Hist_Financials'!D36*(1-'Scenario_Library'!P17)))&gt;=0,(IFERROR(( (('Hist_Financials'!D27-('Hist_Financials'!D27*(1-'Scenario_Library'!M17)))+('Hist_Financials'!D30-('Hist_Financials'!D30*'Scenario_Library'!N17*(1-'Scenario_Library'!O17))))-(MAX(0,'Hist_Financials'!D20+((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-(MAX(0,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)*'Scenario_Library'!V17))+'Hist_Financials'!D12+('Hist_Financials'!D24*'Scenario_Library'!S17)+('Hist_Financials'!D25*'Scenario_Library'!T17)-( (('Hist_Financials'!D6*(1+'Scenario_Library'!E17))*(MAX(0,IFERROR('Hist_Financials'!D21/'Hist_Financials'!D6*365,0)+'Scenario_Library'!I17))/365)-'Hist_Financials'!D21 )-( (IFERROR(('Hist_Financials'!D6*(1+'Scenario_Library'!E17))*(1-(MAX(-0.5,MIN(0.9,IFERROR('Hist_Financials'!D8/'Hist_Financials'!D6,0)+'Scenario_Library'!F17/10000))))*(MAX(0,IFERROR('Hist_Financials'!D22/'Hist_Financials'!D7*365,0)+'Scenario_Library'!J17))/365,0))-'Hist_Financials'!D22 )+( (IFERROR(('Hist_Financials'!D6*(1+'Scenario_Library'!E17))*(1-(MAX(-0.5,MIN(0.9,IFERROR('Hist_Financials'!D8/'Hist_Financials'!D6,0)+'Scenario_Library'!F17/10000))))*(MAX(0,IFERROR('Hist_Financials'!D28/'Hist_Financials'!D7*365,0)+'Scenario_Library'!K17))/365,0))-'Hist_Financials'!D28 ))-('Hist_Financials'!D36*(1-'Scenario_Library'!P17))-('Hist_Financials'!D37*(1-'Scenario_Library'!Q17))-('Hist_Financials'!D38*(1-'Scenario_Library'!R17))-('Hist_Financials'!D27*(1-'Scenario_Library'!M17))-('Hist_Financials'!D30*'Scenario_Library'!N17*(1-'Scenario_Library'!O17)))) )/MAX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,0.01),99))&lt;3,(IFERROR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/MAX(((MAX(0,IFERROR('Hist_Financials'!D14/MAX('Hist_Financials'!D27+'Hist_Financials'!D30,1),0)+'Scenario_Library'!L17/10000))*('Hist_Financials'!D27+'Hist_Financials'!D30)),0.01),999))&gt;='Scenario_Setup'!B12,('Hist_Financials'!D32+(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-(MAX(0,((((('Hist_Financials'!D6*(1+'Scenario_Library'!E17))*(MAX(-0.5,MIN(0.9,IFERROR('Hist_Financials'!D8/'Hist_Financials'!D6,0)+'Scenario_Library'!F17/10000))))-(MAX(0,'Hist_Financials'!D9*(1+'Scenario_Setup'!B9*('Scenario_Library'!E17)+('Scenario_Library'!G17))))-(MAX(0,'Hist_Financials'!D10*(1+'Scenario_Library'!H17))))-'Hist_Financials'!D12)-((MAX(0,IFERROR('Hist_Financials'!D14/MAX('Hist_Financials'!D27+'Hist_Financials'!D30,1),0)+'Scenario_Library'!L17/10000))*('Hist_Financials'!D27+'Hist_Financials'!D30))-('Hist_Financials'!D24*'Scenario_Library'!S17)-('Hist_Financials'!D25*'Scenario_Library'!T17)-('Hist_Financials'!D6*'Scenario_Library'!U17)))*'Scenario_Library'!V17))-('Hist_Financials'!D37*(1-'Scenario_Library'!Q17))-('Hist_Financials'!D38*(1-'Scenario_Library'!R17)))&gt;0),"RESILIENT","WATCH")))</f>
        <v/>
      </c>
    </row>
    <row r="15" ht="17" customHeight="1" s="28">
      <c r="B15" s="230">
        <f>'Scenario_Library'!A18</f>
        <v/>
      </c>
      <c r="C15" s="232" t="inlineStr">
        <is>
          <t>Severe</t>
        </is>
      </c>
      <c r="D15" s="221">
        <f>'Hist_Financials'!D6*(1+'Scenario_Library'!E18)</f>
        <v/>
      </c>
      <c r="E15" s="219">
        <f>('Hist_Financials'!D6*(1+'Scenario_Library'!E18))-'Hist_Financials'!D6</f>
        <v/>
      </c>
      <c r="F15" s="220">
        <f>IFERROR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/('Hist_Financials'!D6*(1+'Scenario_Library'!E18)),0)</f>
        <v/>
      </c>
      <c r="G15" s="221">
        <f>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</f>
        <v/>
      </c>
      <c r="H15" s="219">
        <f>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11</f>
        <v/>
      </c>
      <c r="I15" s="221">
        <f>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-(MAX(0,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)*'Scenario_Library'!V18)</f>
        <v/>
      </c>
      <c r="J15" s="221">
        <f>((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-(MAX(0,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)*'Scenario_Library'!V18))+'Hist_Financials'!D12+('Hist_Financials'!D24*'Scenario_Library'!S18)+('Hist_Financials'!D25*'Scenario_Library'!T18)-( (('Hist_Financials'!D6*(1+'Scenario_Library'!E18))*(MAX(0,IFERROR('Hist_Financials'!D21/'Hist_Financials'!D6*365,0)+'Scenario_Library'!I18))/365)-'Hist_Financials'!D21 )-( (IFERROR(('Hist_Financials'!D6*(1+'Scenario_Library'!E18))*(1-(MAX(-0.5,MIN(0.9,IFERROR('Hist_Financials'!D8/'Hist_Financials'!D6,0)+'Scenario_Library'!F18/10000))))*(MAX(0,IFERROR('Hist_Financials'!D22/'Hist_Financials'!D7*365,0)+'Scenario_Library'!J18))/365,0))-'Hist_Financials'!D22 )+( (IFERROR(('Hist_Financials'!D6*(1+'Scenario_Library'!E18))*(1-(MAX(-0.5,MIN(0.9,IFERROR('Hist_Financials'!D8/'Hist_Financials'!D6,0)+'Scenario_Library'!F18/10000))))*(MAX(0,IFERROR('Hist_Financials'!D28/'Hist_Financials'!D7*365,0)+'Scenario_Library'!K18))/365,0))-'Hist_Financials'!D28 ))-('Hist_Financials'!D36*(1-'Scenario_Library'!P18))</f>
        <v/>
      </c>
      <c r="K15" s="221">
        <f>MAX(0,'Hist_Financials'!D20+((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-(MAX(0,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)*'Scenario_Library'!V18))+'Hist_Financials'!D12+('Hist_Financials'!D24*'Scenario_Library'!S18)+('Hist_Financials'!D25*'Scenario_Library'!T18)-( (('Hist_Financials'!D6*(1+'Scenario_Library'!E18))*(MAX(0,IFERROR('Hist_Financials'!D21/'Hist_Financials'!D6*365,0)+'Scenario_Library'!I18))/365)-'Hist_Financials'!D21 )-( (IFERROR(('Hist_Financials'!D6*(1+'Scenario_Library'!E18))*(1-(MAX(-0.5,MIN(0.9,IFERROR('Hist_Financials'!D8/'Hist_Financials'!D6,0)+'Scenario_Library'!F18/10000))))*(MAX(0,IFERROR('Hist_Financials'!D22/'Hist_Financials'!D7*365,0)+'Scenario_Library'!J18))/365,0))-'Hist_Financials'!D22 )+( (IFERROR(('Hist_Financials'!D6*(1+'Scenario_Library'!E18))*(1-(MAX(-0.5,MIN(0.9,IFERROR('Hist_Financials'!D8/'Hist_Financials'!D6,0)+'Scenario_Library'!F18/10000))))*(MAX(0,IFERROR('Hist_Financials'!D28/'Hist_Financials'!D7*365,0)+'Scenario_Library'!K18))/365,0))-'Hist_Financials'!D28 ))-('Hist_Financials'!D36*(1-'Scenario_Library'!P18))-('Hist_Financials'!D37*(1-'Scenario_Library'!Q18))-('Hist_Financials'!D38*(1-'Scenario_Library'!R18))-('Hist_Financials'!D27*(1-'Scenario_Library'!M18))-('Hist_Financials'!D30*'Scenario_Library'!N18*(1-'Scenario_Library'!O18)))</f>
        <v/>
      </c>
      <c r="L15" s="222">
        <f>IF('Hist_Financials'!D6=0,"",IFERROR(( (('Hist_Financials'!D27-('Hist_Financials'!D27*(1-'Scenario_Library'!M18)))+('Hist_Financials'!D30-('Hist_Financials'!D30*'Scenario_Library'!N18*(1-'Scenario_Library'!O18))))-(MAX(0,'Hist_Financials'!D20+((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-(MAX(0,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)*'Scenario_Library'!V18))+'Hist_Financials'!D12+('Hist_Financials'!D24*'Scenario_Library'!S18)+('Hist_Financials'!D25*'Scenario_Library'!T18)-( (('Hist_Financials'!D6*(1+'Scenario_Library'!E18))*(MAX(0,IFERROR('Hist_Financials'!D21/'Hist_Financials'!D6*365,0)+'Scenario_Library'!I18))/365)-'Hist_Financials'!D21 )-( (IFERROR(('Hist_Financials'!D6*(1+'Scenario_Library'!E18))*(1-(MAX(-0.5,MIN(0.9,IFERROR('Hist_Financials'!D8/'Hist_Financials'!D6,0)+'Scenario_Library'!F18/10000))))*(MAX(0,IFERROR('Hist_Financials'!D22/'Hist_Financials'!D7*365,0)+'Scenario_Library'!J18))/365,0))-'Hist_Financials'!D22 )+( (IFERROR(('Hist_Financials'!D6*(1+'Scenario_Library'!E18))*(1-(MAX(-0.5,MIN(0.9,IFERROR('Hist_Financials'!D8/'Hist_Financials'!D6,0)+'Scenario_Library'!F18/10000))))*(MAX(0,IFERROR('Hist_Financials'!D28/'Hist_Financials'!D7*365,0)+'Scenario_Library'!K18))/365,0))-'Hist_Financials'!D28 ))-('Hist_Financials'!D36*(1-'Scenario_Library'!P18))-('Hist_Financials'!D37*(1-'Scenario_Library'!Q18))-('Hist_Financials'!D38*(1-'Scenario_Library'!R18))-('Hist_Financials'!D27*(1-'Scenario_Library'!M18))-('Hist_Financials'!D30*'Scenario_Library'!N18*(1-'Scenario_Library'!O18)))) )/MAX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,0.01),99))</f>
        <v/>
      </c>
      <c r="M15" s="222">
        <f>IF('Hist_Financials'!D6=0,"",IFERROR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/MAX(((MAX(0,IFERROR('Hist_Financials'!D14/MAX('Hist_Financials'!D27+'Hist_Financials'!D30,1),0)+'Scenario_Library'!L18/10000))*('Hist_Financials'!D27+'Hist_Financials'!D30)),0.01),999))</f>
        <v/>
      </c>
      <c r="N15" s="218">
        <f>IF('Hist_Financials'!D6=0,"— NO DATA —",IF(OR((IFERROR(( (('Hist_Financials'!D27-('Hist_Financials'!D27*(1-'Scenario_Library'!M18)))+('Hist_Financials'!D30-('Hist_Financials'!D30*'Scenario_Library'!N18*(1-'Scenario_Library'!O18))))-(MAX(0,'Hist_Financials'!D20+((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-(MAX(0,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)*'Scenario_Library'!V18))+'Hist_Financials'!D12+('Hist_Financials'!D24*'Scenario_Library'!S18)+('Hist_Financials'!D25*'Scenario_Library'!T18)-( (('Hist_Financials'!D6*(1+'Scenario_Library'!E18))*(MAX(0,IFERROR('Hist_Financials'!D21/'Hist_Financials'!D6*365,0)+'Scenario_Library'!I18))/365)-'Hist_Financials'!D21 )-( (IFERROR(('Hist_Financials'!D6*(1+'Scenario_Library'!E18))*(1-(MAX(-0.5,MIN(0.9,IFERROR('Hist_Financials'!D8/'Hist_Financials'!D6,0)+'Scenario_Library'!F18/10000))))*(MAX(0,IFERROR('Hist_Financials'!D22/'Hist_Financials'!D7*365,0)+'Scenario_Library'!J18))/365,0))-'Hist_Financials'!D22 )+( (IFERROR(('Hist_Financials'!D6*(1+'Scenario_Library'!E18))*(1-(MAX(-0.5,MIN(0.9,IFERROR('Hist_Financials'!D8/'Hist_Financials'!D6,0)+'Scenario_Library'!F18/10000))))*(MAX(0,IFERROR('Hist_Financials'!D28/'Hist_Financials'!D7*365,0)+'Scenario_Library'!K18))/365,0))-'Hist_Financials'!D28 ))-('Hist_Financials'!D36*(1-'Scenario_Library'!P18))-('Hist_Financials'!D37*(1-'Scenario_Library'!Q18))-('Hist_Financials'!D38*(1-'Scenario_Library'!R18))-('Hist_Financials'!D27*(1-'Scenario_Library'!M18))-('Hist_Financials'!D30*'Scenario_Library'!N18*(1-'Scenario_Library'!O18)))) )/MAX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,0.01),99))&gt;'Scenario_Setup'!B13,(IFERROR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/MAX(((MAX(0,IFERROR('Hist_Financials'!D14/MAX('Hist_Financials'!D27+'Hist_Financials'!D30,1),0)+'Scenario_Library'!L18/10000))*('Hist_Financials'!D27+'Hist_Financials'!D30)),0.01),999))&lt;'Scenario_Setup'!B12,('Hist_Financials'!D32+(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-(MAX(0,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)*'Scenario_Library'!V18))-('Hist_Financials'!D37*(1-'Scenario_Library'!Q18))-('Hist_Financials'!D38*(1-'Scenario_Library'!R18)))&lt;0,(((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-(MAX(0,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)*'Scenario_Library'!V18))+'Hist_Financials'!D12+('Hist_Financials'!D24*'Scenario_Library'!S18)+('Hist_Financials'!D25*'Scenario_Library'!T18)-( (('Hist_Financials'!D6*(1+'Scenario_Library'!E18))*(MAX(0,IFERROR('Hist_Financials'!D21/'Hist_Financials'!D6*365,0)+'Scenario_Library'!I18))/365)-'Hist_Financials'!D21 )-( (IFERROR(('Hist_Financials'!D6*(1+'Scenario_Library'!E18))*(1-(MAX(-0.5,MIN(0.9,IFERROR('Hist_Financials'!D8/'Hist_Financials'!D6,0)+'Scenario_Library'!F18/10000))))*(MAX(0,IFERROR('Hist_Financials'!D22/'Hist_Financials'!D7*365,0)+'Scenario_Library'!J18))/365,0))-'Hist_Financials'!D22 )+( (IFERROR(('Hist_Financials'!D6*(1+'Scenario_Library'!E18))*(1-(MAX(-0.5,MIN(0.9,IFERROR('Hist_Financials'!D8/'Hist_Financials'!D6,0)+'Scenario_Library'!F18/10000))))*(MAX(0,IFERROR('Hist_Financials'!D28/'Hist_Financials'!D7*365,0)+'Scenario_Library'!K18))/365,0))-'Hist_Financials'!D28 ))-('Hist_Financials'!D36*(1-'Scenario_Library'!P18)))&lt;-0.2*'Hist_Financials'!D6),"CRITICAL",IF(AND((((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-(MAX(0,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)*'Scenario_Library'!V18))+'Hist_Financials'!D12+('Hist_Financials'!D24*'Scenario_Library'!S18)+('Hist_Financials'!D25*'Scenario_Library'!T18)-( (('Hist_Financials'!D6*(1+'Scenario_Library'!E18))*(MAX(0,IFERROR('Hist_Financials'!D21/'Hist_Financials'!D6*365,0)+'Scenario_Library'!I18))/365)-'Hist_Financials'!D21 )-( (IFERROR(('Hist_Financials'!D6*(1+'Scenario_Library'!E18))*(1-(MAX(-0.5,MIN(0.9,IFERROR('Hist_Financials'!D8/'Hist_Financials'!D6,0)+'Scenario_Library'!F18/10000))))*(MAX(0,IFERROR('Hist_Financials'!D22/'Hist_Financials'!D7*365,0)+'Scenario_Library'!J18))/365,0))-'Hist_Financials'!D22 )+( (IFERROR(('Hist_Financials'!D6*(1+'Scenario_Library'!E18))*(1-(MAX(-0.5,MIN(0.9,IFERROR('Hist_Financials'!D8/'Hist_Financials'!D6,0)+'Scenario_Library'!F18/10000))))*(MAX(0,IFERROR('Hist_Financials'!D28/'Hist_Financials'!D7*365,0)+'Scenario_Library'!K18))/365,0))-'Hist_Financials'!D28 ))-('Hist_Financials'!D36*(1-'Scenario_Library'!P18)))&gt;=0,(IFERROR(( (('Hist_Financials'!D27-('Hist_Financials'!D27*(1-'Scenario_Library'!M18)))+('Hist_Financials'!D30-('Hist_Financials'!D30*'Scenario_Library'!N18*(1-'Scenario_Library'!O18))))-(MAX(0,'Hist_Financials'!D20+((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-(MAX(0,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)*'Scenario_Library'!V18))+'Hist_Financials'!D12+('Hist_Financials'!D24*'Scenario_Library'!S18)+('Hist_Financials'!D25*'Scenario_Library'!T18)-( (('Hist_Financials'!D6*(1+'Scenario_Library'!E18))*(MAX(0,IFERROR('Hist_Financials'!D21/'Hist_Financials'!D6*365,0)+'Scenario_Library'!I18))/365)-'Hist_Financials'!D21 )-( (IFERROR(('Hist_Financials'!D6*(1+'Scenario_Library'!E18))*(1-(MAX(-0.5,MIN(0.9,IFERROR('Hist_Financials'!D8/'Hist_Financials'!D6,0)+'Scenario_Library'!F18/10000))))*(MAX(0,IFERROR('Hist_Financials'!D22/'Hist_Financials'!D7*365,0)+'Scenario_Library'!J18))/365,0))-'Hist_Financials'!D22 )+( (IFERROR(('Hist_Financials'!D6*(1+'Scenario_Library'!E18))*(1-(MAX(-0.5,MIN(0.9,IFERROR('Hist_Financials'!D8/'Hist_Financials'!D6,0)+'Scenario_Library'!F18/10000))))*(MAX(0,IFERROR('Hist_Financials'!D28/'Hist_Financials'!D7*365,0)+'Scenario_Library'!K18))/365,0))-'Hist_Financials'!D28 ))-('Hist_Financials'!D36*(1-'Scenario_Library'!P18))-('Hist_Financials'!D37*(1-'Scenario_Library'!Q18))-('Hist_Financials'!D38*(1-'Scenario_Library'!R18))-('Hist_Financials'!D27*(1-'Scenario_Library'!M18))-('Hist_Financials'!D30*'Scenario_Library'!N18*(1-'Scenario_Library'!O18)))) )/MAX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,0.01),99))&lt;3,(IFERROR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/MAX(((MAX(0,IFERROR('Hist_Financials'!D14/MAX('Hist_Financials'!D27+'Hist_Financials'!D30,1),0)+'Scenario_Library'!L18/10000))*('Hist_Financials'!D27+'Hist_Financials'!D30)),0.01),999))&gt;='Scenario_Setup'!B12,('Hist_Financials'!D32+(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-(MAX(0,((((('Hist_Financials'!D6*(1+'Scenario_Library'!E18))*(MAX(-0.5,MIN(0.9,IFERROR('Hist_Financials'!D8/'Hist_Financials'!D6,0)+'Scenario_Library'!F18/10000))))-(MAX(0,'Hist_Financials'!D9*(1+'Scenario_Setup'!B9*('Scenario_Library'!E18)+('Scenario_Library'!G18))))-(MAX(0,'Hist_Financials'!D10*(1+'Scenario_Library'!H18))))-'Hist_Financials'!D12)-((MAX(0,IFERROR('Hist_Financials'!D14/MAX('Hist_Financials'!D27+'Hist_Financials'!D30,1),0)+'Scenario_Library'!L18/10000))*('Hist_Financials'!D27+'Hist_Financials'!D30))-('Hist_Financials'!D24*'Scenario_Library'!S18)-('Hist_Financials'!D25*'Scenario_Library'!T18)-('Hist_Financials'!D6*'Scenario_Library'!U18)))*'Scenario_Library'!V18))-('Hist_Financials'!D37*(1-'Scenario_Library'!Q18))-('Hist_Financials'!D38*(1-'Scenario_Library'!R18)))&gt;0),"RESILIENT","WATCH")))</f>
        <v/>
      </c>
    </row>
    <row r="16" ht="17" customHeight="1" s="28">
      <c r="B16" s="223">
        <f>'Scenario_Library'!A19</f>
        <v/>
      </c>
      <c r="C16" s="224" t="inlineStr">
        <is>
          <t>Light</t>
        </is>
      </c>
      <c r="D16" s="225">
        <f>'Hist_Financials'!D6*(1+'Scenario_Library'!E19)</f>
        <v/>
      </c>
      <c r="E16" s="226">
        <f>('Hist_Financials'!D6*(1+'Scenario_Library'!E19))-'Hist_Financials'!D6</f>
        <v/>
      </c>
      <c r="F16" s="227">
        <f>IFERROR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/('Hist_Financials'!D6*(1+'Scenario_Library'!E19)),0)</f>
        <v/>
      </c>
      <c r="G16" s="225">
        <f>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</f>
        <v/>
      </c>
      <c r="H16" s="226">
        <f>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11</f>
        <v/>
      </c>
      <c r="I16" s="225">
        <f>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-(MAX(0,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)*'Scenario_Library'!V19)</f>
        <v/>
      </c>
      <c r="J16" s="225">
        <f>((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-(MAX(0,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)*'Scenario_Library'!V19))+'Hist_Financials'!D12+('Hist_Financials'!D24*'Scenario_Library'!S19)+('Hist_Financials'!D25*'Scenario_Library'!T19)-( (('Hist_Financials'!D6*(1+'Scenario_Library'!E19))*(MAX(0,IFERROR('Hist_Financials'!D21/'Hist_Financials'!D6*365,0)+'Scenario_Library'!I19))/365)-'Hist_Financials'!D21 )-( (IFERROR(('Hist_Financials'!D6*(1+'Scenario_Library'!E19))*(1-(MAX(-0.5,MIN(0.9,IFERROR('Hist_Financials'!D8/'Hist_Financials'!D6,0)+'Scenario_Library'!F19/10000))))*(MAX(0,IFERROR('Hist_Financials'!D22/'Hist_Financials'!D7*365,0)+'Scenario_Library'!J19))/365,0))-'Hist_Financials'!D22 )+( (IFERROR(('Hist_Financials'!D6*(1+'Scenario_Library'!E19))*(1-(MAX(-0.5,MIN(0.9,IFERROR('Hist_Financials'!D8/'Hist_Financials'!D6,0)+'Scenario_Library'!F19/10000))))*(MAX(0,IFERROR('Hist_Financials'!D28/'Hist_Financials'!D7*365,0)+'Scenario_Library'!K19))/365,0))-'Hist_Financials'!D28 ))-('Hist_Financials'!D36*(1-'Scenario_Library'!P19))</f>
        <v/>
      </c>
      <c r="K16" s="225">
        <f>MAX(0,'Hist_Financials'!D20+((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-(MAX(0,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)*'Scenario_Library'!V19))+'Hist_Financials'!D12+('Hist_Financials'!D24*'Scenario_Library'!S19)+('Hist_Financials'!D25*'Scenario_Library'!T19)-( (('Hist_Financials'!D6*(1+'Scenario_Library'!E19))*(MAX(0,IFERROR('Hist_Financials'!D21/'Hist_Financials'!D6*365,0)+'Scenario_Library'!I19))/365)-'Hist_Financials'!D21 )-( (IFERROR(('Hist_Financials'!D6*(1+'Scenario_Library'!E19))*(1-(MAX(-0.5,MIN(0.9,IFERROR('Hist_Financials'!D8/'Hist_Financials'!D6,0)+'Scenario_Library'!F19/10000))))*(MAX(0,IFERROR('Hist_Financials'!D22/'Hist_Financials'!D7*365,0)+'Scenario_Library'!J19))/365,0))-'Hist_Financials'!D22 )+( (IFERROR(('Hist_Financials'!D6*(1+'Scenario_Library'!E19))*(1-(MAX(-0.5,MIN(0.9,IFERROR('Hist_Financials'!D8/'Hist_Financials'!D6,0)+'Scenario_Library'!F19/10000))))*(MAX(0,IFERROR('Hist_Financials'!D28/'Hist_Financials'!D7*365,0)+'Scenario_Library'!K19))/365,0))-'Hist_Financials'!D28 ))-('Hist_Financials'!D36*(1-'Scenario_Library'!P19))-('Hist_Financials'!D37*(1-'Scenario_Library'!Q19))-('Hist_Financials'!D38*(1-'Scenario_Library'!R19))-('Hist_Financials'!D27*(1-'Scenario_Library'!M19))-('Hist_Financials'!D30*'Scenario_Library'!N19*(1-'Scenario_Library'!O19)))</f>
        <v/>
      </c>
      <c r="L16" s="228">
        <f>IF('Hist_Financials'!D6=0,"",IFERROR(( (('Hist_Financials'!D27-('Hist_Financials'!D27*(1-'Scenario_Library'!M19)))+('Hist_Financials'!D30-('Hist_Financials'!D30*'Scenario_Library'!N19*(1-'Scenario_Library'!O19))))-(MAX(0,'Hist_Financials'!D20+((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-(MAX(0,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)*'Scenario_Library'!V19))+'Hist_Financials'!D12+('Hist_Financials'!D24*'Scenario_Library'!S19)+('Hist_Financials'!D25*'Scenario_Library'!T19)-( (('Hist_Financials'!D6*(1+'Scenario_Library'!E19))*(MAX(0,IFERROR('Hist_Financials'!D21/'Hist_Financials'!D6*365,0)+'Scenario_Library'!I19))/365)-'Hist_Financials'!D21 )-( (IFERROR(('Hist_Financials'!D6*(1+'Scenario_Library'!E19))*(1-(MAX(-0.5,MIN(0.9,IFERROR('Hist_Financials'!D8/'Hist_Financials'!D6,0)+'Scenario_Library'!F19/10000))))*(MAX(0,IFERROR('Hist_Financials'!D22/'Hist_Financials'!D7*365,0)+'Scenario_Library'!J19))/365,0))-'Hist_Financials'!D22 )+( (IFERROR(('Hist_Financials'!D6*(1+'Scenario_Library'!E19))*(1-(MAX(-0.5,MIN(0.9,IFERROR('Hist_Financials'!D8/'Hist_Financials'!D6,0)+'Scenario_Library'!F19/10000))))*(MAX(0,IFERROR('Hist_Financials'!D28/'Hist_Financials'!D7*365,0)+'Scenario_Library'!K19))/365,0))-'Hist_Financials'!D28 ))-('Hist_Financials'!D36*(1-'Scenario_Library'!P19))-('Hist_Financials'!D37*(1-'Scenario_Library'!Q19))-('Hist_Financials'!D38*(1-'Scenario_Library'!R19))-('Hist_Financials'!D27*(1-'Scenario_Library'!M19))-('Hist_Financials'!D30*'Scenario_Library'!N19*(1-'Scenario_Library'!O19)))) )/MAX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,0.01),99))</f>
        <v/>
      </c>
      <c r="M16" s="228">
        <f>IF('Hist_Financials'!D6=0,"",IFERROR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/MAX(((MAX(0,IFERROR('Hist_Financials'!D14/MAX('Hist_Financials'!D27+'Hist_Financials'!D30,1),0)+'Scenario_Library'!L19/10000))*('Hist_Financials'!D27+'Hist_Financials'!D30)),0.01),999))</f>
        <v/>
      </c>
      <c r="N16" s="229">
        <f>IF('Hist_Financials'!D6=0,"— NO DATA —",IF(OR((IFERROR(( (('Hist_Financials'!D27-('Hist_Financials'!D27*(1-'Scenario_Library'!M19)))+('Hist_Financials'!D30-('Hist_Financials'!D30*'Scenario_Library'!N19*(1-'Scenario_Library'!O19))))-(MAX(0,'Hist_Financials'!D20+((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-(MAX(0,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)*'Scenario_Library'!V19))+'Hist_Financials'!D12+('Hist_Financials'!D24*'Scenario_Library'!S19)+('Hist_Financials'!D25*'Scenario_Library'!T19)-( (('Hist_Financials'!D6*(1+'Scenario_Library'!E19))*(MAX(0,IFERROR('Hist_Financials'!D21/'Hist_Financials'!D6*365,0)+'Scenario_Library'!I19))/365)-'Hist_Financials'!D21 )-( (IFERROR(('Hist_Financials'!D6*(1+'Scenario_Library'!E19))*(1-(MAX(-0.5,MIN(0.9,IFERROR('Hist_Financials'!D8/'Hist_Financials'!D6,0)+'Scenario_Library'!F19/10000))))*(MAX(0,IFERROR('Hist_Financials'!D22/'Hist_Financials'!D7*365,0)+'Scenario_Library'!J19))/365,0))-'Hist_Financials'!D22 )+( (IFERROR(('Hist_Financials'!D6*(1+'Scenario_Library'!E19))*(1-(MAX(-0.5,MIN(0.9,IFERROR('Hist_Financials'!D8/'Hist_Financials'!D6,0)+'Scenario_Library'!F19/10000))))*(MAX(0,IFERROR('Hist_Financials'!D28/'Hist_Financials'!D7*365,0)+'Scenario_Library'!K19))/365,0))-'Hist_Financials'!D28 ))-('Hist_Financials'!D36*(1-'Scenario_Library'!P19))-('Hist_Financials'!D37*(1-'Scenario_Library'!Q19))-('Hist_Financials'!D38*(1-'Scenario_Library'!R19))-('Hist_Financials'!D27*(1-'Scenario_Library'!M19))-('Hist_Financials'!D30*'Scenario_Library'!N19*(1-'Scenario_Library'!O19)))) )/MAX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,0.01),99))&gt;'Scenario_Setup'!B13,(IFERROR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/MAX(((MAX(0,IFERROR('Hist_Financials'!D14/MAX('Hist_Financials'!D27+'Hist_Financials'!D30,1),0)+'Scenario_Library'!L19/10000))*('Hist_Financials'!D27+'Hist_Financials'!D30)),0.01),999))&lt;'Scenario_Setup'!B12,('Hist_Financials'!D32+(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-(MAX(0,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)*'Scenario_Library'!V19))-('Hist_Financials'!D37*(1-'Scenario_Library'!Q19))-('Hist_Financials'!D38*(1-'Scenario_Library'!R19)))&lt;0,(((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-(MAX(0,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)*'Scenario_Library'!V19))+'Hist_Financials'!D12+('Hist_Financials'!D24*'Scenario_Library'!S19)+('Hist_Financials'!D25*'Scenario_Library'!T19)-( (('Hist_Financials'!D6*(1+'Scenario_Library'!E19))*(MAX(0,IFERROR('Hist_Financials'!D21/'Hist_Financials'!D6*365,0)+'Scenario_Library'!I19))/365)-'Hist_Financials'!D21 )-( (IFERROR(('Hist_Financials'!D6*(1+'Scenario_Library'!E19))*(1-(MAX(-0.5,MIN(0.9,IFERROR('Hist_Financials'!D8/'Hist_Financials'!D6,0)+'Scenario_Library'!F19/10000))))*(MAX(0,IFERROR('Hist_Financials'!D22/'Hist_Financials'!D7*365,0)+'Scenario_Library'!J19))/365,0))-'Hist_Financials'!D22 )+( (IFERROR(('Hist_Financials'!D6*(1+'Scenario_Library'!E19))*(1-(MAX(-0.5,MIN(0.9,IFERROR('Hist_Financials'!D8/'Hist_Financials'!D6,0)+'Scenario_Library'!F19/10000))))*(MAX(0,IFERROR('Hist_Financials'!D28/'Hist_Financials'!D7*365,0)+'Scenario_Library'!K19))/365,0))-'Hist_Financials'!D28 ))-('Hist_Financials'!D36*(1-'Scenario_Library'!P19)))&lt;-0.2*'Hist_Financials'!D6),"CRITICAL",IF(AND((((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-(MAX(0,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)*'Scenario_Library'!V19))+'Hist_Financials'!D12+('Hist_Financials'!D24*'Scenario_Library'!S19)+('Hist_Financials'!D25*'Scenario_Library'!T19)-( (('Hist_Financials'!D6*(1+'Scenario_Library'!E19))*(MAX(0,IFERROR('Hist_Financials'!D21/'Hist_Financials'!D6*365,0)+'Scenario_Library'!I19))/365)-'Hist_Financials'!D21 )-( (IFERROR(('Hist_Financials'!D6*(1+'Scenario_Library'!E19))*(1-(MAX(-0.5,MIN(0.9,IFERROR('Hist_Financials'!D8/'Hist_Financials'!D6,0)+'Scenario_Library'!F19/10000))))*(MAX(0,IFERROR('Hist_Financials'!D22/'Hist_Financials'!D7*365,0)+'Scenario_Library'!J19))/365,0))-'Hist_Financials'!D22 )+( (IFERROR(('Hist_Financials'!D6*(1+'Scenario_Library'!E19))*(1-(MAX(-0.5,MIN(0.9,IFERROR('Hist_Financials'!D8/'Hist_Financials'!D6,0)+'Scenario_Library'!F19/10000))))*(MAX(0,IFERROR('Hist_Financials'!D28/'Hist_Financials'!D7*365,0)+'Scenario_Library'!K19))/365,0))-'Hist_Financials'!D28 ))-('Hist_Financials'!D36*(1-'Scenario_Library'!P19)))&gt;=0,(IFERROR(( (('Hist_Financials'!D27-('Hist_Financials'!D27*(1-'Scenario_Library'!M19)))+('Hist_Financials'!D30-('Hist_Financials'!D30*'Scenario_Library'!N19*(1-'Scenario_Library'!O19))))-(MAX(0,'Hist_Financials'!D20+((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-(MAX(0,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)*'Scenario_Library'!V19))+'Hist_Financials'!D12+('Hist_Financials'!D24*'Scenario_Library'!S19)+('Hist_Financials'!D25*'Scenario_Library'!T19)-( (('Hist_Financials'!D6*(1+'Scenario_Library'!E19))*(MAX(0,IFERROR('Hist_Financials'!D21/'Hist_Financials'!D6*365,0)+'Scenario_Library'!I19))/365)-'Hist_Financials'!D21 )-( (IFERROR(('Hist_Financials'!D6*(1+'Scenario_Library'!E19))*(1-(MAX(-0.5,MIN(0.9,IFERROR('Hist_Financials'!D8/'Hist_Financials'!D6,0)+'Scenario_Library'!F19/10000))))*(MAX(0,IFERROR('Hist_Financials'!D22/'Hist_Financials'!D7*365,0)+'Scenario_Library'!J19))/365,0))-'Hist_Financials'!D22 )+( (IFERROR(('Hist_Financials'!D6*(1+'Scenario_Library'!E19))*(1-(MAX(-0.5,MIN(0.9,IFERROR('Hist_Financials'!D8/'Hist_Financials'!D6,0)+'Scenario_Library'!F19/10000))))*(MAX(0,IFERROR('Hist_Financials'!D28/'Hist_Financials'!D7*365,0)+'Scenario_Library'!K19))/365,0))-'Hist_Financials'!D28 ))-('Hist_Financials'!D36*(1-'Scenario_Library'!P19))-('Hist_Financials'!D37*(1-'Scenario_Library'!Q19))-('Hist_Financials'!D38*(1-'Scenario_Library'!R19))-('Hist_Financials'!D27*(1-'Scenario_Library'!M19))-('Hist_Financials'!D30*'Scenario_Library'!N19*(1-'Scenario_Library'!O19)))) )/MAX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,0.01),99))&lt;3,(IFERROR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/MAX(((MAX(0,IFERROR('Hist_Financials'!D14/MAX('Hist_Financials'!D27+'Hist_Financials'!D30,1),0)+'Scenario_Library'!L19/10000))*('Hist_Financials'!D27+'Hist_Financials'!D30)),0.01),999))&gt;='Scenario_Setup'!B12,('Hist_Financials'!D32+(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-(MAX(0,((((('Hist_Financials'!D6*(1+'Scenario_Library'!E19))*(MAX(-0.5,MIN(0.9,IFERROR('Hist_Financials'!D8/'Hist_Financials'!D6,0)+'Scenario_Library'!F19/10000))))-(MAX(0,'Hist_Financials'!D9*(1+'Scenario_Setup'!B9*('Scenario_Library'!E19)+('Scenario_Library'!G19))))-(MAX(0,'Hist_Financials'!D10*(1+'Scenario_Library'!H19))))-'Hist_Financials'!D12)-((MAX(0,IFERROR('Hist_Financials'!D14/MAX('Hist_Financials'!D27+'Hist_Financials'!D30,1),0)+'Scenario_Library'!L19/10000))*('Hist_Financials'!D27+'Hist_Financials'!D30))-('Hist_Financials'!D24*'Scenario_Library'!S19)-('Hist_Financials'!D25*'Scenario_Library'!T19)-('Hist_Financials'!D6*'Scenario_Library'!U19)))*'Scenario_Library'!V19))-('Hist_Financials'!D37*(1-'Scenario_Library'!Q19))-('Hist_Financials'!D38*(1-'Scenario_Library'!R19)))&gt;0),"RESILIENT","WATCH")))</f>
        <v/>
      </c>
    </row>
    <row r="17" ht="17" customHeight="1" s="28">
      <c r="B17" s="230">
        <f>'Scenario_Library'!A20</f>
        <v/>
      </c>
      <c r="C17" s="231" t="inlineStr">
        <is>
          <t>Base</t>
        </is>
      </c>
      <c r="D17" s="215">
        <f>'Hist_Financials'!D6*(1+'Scenario_Library'!E20)</f>
        <v/>
      </c>
      <c r="E17" s="213">
        <f>('Hist_Financials'!D6*(1+'Scenario_Library'!E20))-'Hist_Financials'!D6</f>
        <v/>
      </c>
      <c r="F17" s="214">
        <f>IFERROR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/('Hist_Financials'!D6*(1+'Scenario_Library'!E20)),0)</f>
        <v/>
      </c>
      <c r="G17" s="215">
        <f>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</f>
        <v/>
      </c>
      <c r="H17" s="213">
        <f>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11</f>
        <v/>
      </c>
      <c r="I17" s="215">
        <f>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-(MAX(0,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)*'Scenario_Library'!V20)</f>
        <v/>
      </c>
      <c r="J17" s="215">
        <f>((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-(MAX(0,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)*'Scenario_Library'!V20))+'Hist_Financials'!D12+('Hist_Financials'!D24*'Scenario_Library'!S20)+('Hist_Financials'!D25*'Scenario_Library'!T20)-( (('Hist_Financials'!D6*(1+'Scenario_Library'!E20))*(MAX(0,IFERROR('Hist_Financials'!D21/'Hist_Financials'!D6*365,0)+'Scenario_Library'!I20))/365)-'Hist_Financials'!D21 )-( (IFERROR(('Hist_Financials'!D6*(1+'Scenario_Library'!E20))*(1-(MAX(-0.5,MIN(0.9,IFERROR('Hist_Financials'!D8/'Hist_Financials'!D6,0)+'Scenario_Library'!F20/10000))))*(MAX(0,IFERROR('Hist_Financials'!D22/'Hist_Financials'!D7*365,0)+'Scenario_Library'!J20))/365,0))-'Hist_Financials'!D22 )+( (IFERROR(('Hist_Financials'!D6*(1+'Scenario_Library'!E20))*(1-(MAX(-0.5,MIN(0.9,IFERROR('Hist_Financials'!D8/'Hist_Financials'!D6,0)+'Scenario_Library'!F20/10000))))*(MAX(0,IFERROR('Hist_Financials'!D28/'Hist_Financials'!D7*365,0)+'Scenario_Library'!K20))/365,0))-'Hist_Financials'!D28 ))-('Hist_Financials'!D36*(1-'Scenario_Library'!P20))</f>
        <v/>
      </c>
      <c r="K17" s="215">
        <f>MAX(0,'Hist_Financials'!D20+((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-(MAX(0,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)*'Scenario_Library'!V20))+'Hist_Financials'!D12+('Hist_Financials'!D24*'Scenario_Library'!S20)+('Hist_Financials'!D25*'Scenario_Library'!T20)-( (('Hist_Financials'!D6*(1+'Scenario_Library'!E20))*(MAX(0,IFERROR('Hist_Financials'!D21/'Hist_Financials'!D6*365,0)+'Scenario_Library'!I20))/365)-'Hist_Financials'!D21 )-( (IFERROR(('Hist_Financials'!D6*(1+'Scenario_Library'!E20))*(1-(MAX(-0.5,MIN(0.9,IFERROR('Hist_Financials'!D8/'Hist_Financials'!D6,0)+'Scenario_Library'!F20/10000))))*(MAX(0,IFERROR('Hist_Financials'!D22/'Hist_Financials'!D7*365,0)+'Scenario_Library'!J20))/365,0))-'Hist_Financials'!D22 )+( (IFERROR(('Hist_Financials'!D6*(1+'Scenario_Library'!E20))*(1-(MAX(-0.5,MIN(0.9,IFERROR('Hist_Financials'!D8/'Hist_Financials'!D6,0)+'Scenario_Library'!F20/10000))))*(MAX(0,IFERROR('Hist_Financials'!D28/'Hist_Financials'!D7*365,0)+'Scenario_Library'!K20))/365,0))-'Hist_Financials'!D28 ))-('Hist_Financials'!D36*(1-'Scenario_Library'!P20))-('Hist_Financials'!D37*(1-'Scenario_Library'!Q20))-('Hist_Financials'!D38*(1-'Scenario_Library'!R20))-('Hist_Financials'!D27*(1-'Scenario_Library'!M20))-('Hist_Financials'!D30*'Scenario_Library'!N20*(1-'Scenario_Library'!O20)))</f>
        <v/>
      </c>
      <c r="L17" s="216">
        <f>IF('Hist_Financials'!D6=0,"",IFERROR(( (('Hist_Financials'!D27-('Hist_Financials'!D27*(1-'Scenario_Library'!M20)))+('Hist_Financials'!D30-('Hist_Financials'!D30*'Scenario_Library'!N20*(1-'Scenario_Library'!O20))))-(MAX(0,'Hist_Financials'!D20+((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-(MAX(0,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)*'Scenario_Library'!V20))+'Hist_Financials'!D12+('Hist_Financials'!D24*'Scenario_Library'!S20)+('Hist_Financials'!D25*'Scenario_Library'!T20)-( (('Hist_Financials'!D6*(1+'Scenario_Library'!E20))*(MAX(0,IFERROR('Hist_Financials'!D21/'Hist_Financials'!D6*365,0)+'Scenario_Library'!I20))/365)-'Hist_Financials'!D21 )-( (IFERROR(('Hist_Financials'!D6*(1+'Scenario_Library'!E20))*(1-(MAX(-0.5,MIN(0.9,IFERROR('Hist_Financials'!D8/'Hist_Financials'!D6,0)+'Scenario_Library'!F20/10000))))*(MAX(0,IFERROR('Hist_Financials'!D22/'Hist_Financials'!D7*365,0)+'Scenario_Library'!J20))/365,0))-'Hist_Financials'!D22 )+( (IFERROR(('Hist_Financials'!D6*(1+'Scenario_Library'!E20))*(1-(MAX(-0.5,MIN(0.9,IFERROR('Hist_Financials'!D8/'Hist_Financials'!D6,0)+'Scenario_Library'!F20/10000))))*(MAX(0,IFERROR('Hist_Financials'!D28/'Hist_Financials'!D7*365,0)+'Scenario_Library'!K20))/365,0))-'Hist_Financials'!D28 ))-('Hist_Financials'!D36*(1-'Scenario_Library'!P20))-('Hist_Financials'!D37*(1-'Scenario_Library'!Q20))-('Hist_Financials'!D38*(1-'Scenario_Library'!R20))-('Hist_Financials'!D27*(1-'Scenario_Library'!M20))-('Hist_Financials'!D30*'Scenario_Library'!N20*(1-'Scenario_Library'!O20)))) )/MAX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,0.01),99))</f>
        <v/>
      </c>
      <c r="M17" s="216">
        <f>IF('Hist_Financials'!D6=0,"",IFERROR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/MAX(((MAX(0,IFERROR('Hist_Financials'!D14/MAX('Hist_Financials'!D27+'Hist_Financials'!D30,1),0)+'Scenario_Library'!L20/10000))*('Hist_Financials'!D27+'Hist_Financials'!D30)),0.01),999))</f>
        <v/>
      </c>
      <c r="N17" s="212">
        <f>IF('Hist_Financials'!D6=0,"— NO DATA —",IF(OR((IFERROR(( (('Hist_Financials'!D27-('Hist_Financials'!D27*(1-'Scenario_Library'!M20)))+('Hist_Financials'!D30-('Hist_Financials'!D30*'Scenario_Library'!N20*(1-'Scenario_Library'!O20))))-(MAX(0,'Hist_Financials'!D20+((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-(MAX(0,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)*'Scenario_Library'!V20))+'Hist_Financials'!D12+('Hist_Financials'!D24*'Scenario_Library'!S20)+('Hist_Financials'!D25*'Scenario_Library'!T20)-( (('Hist_Financials'!D6*(1+'Scenario_Library'!E20))*(MAX(0,IFERROR('Hist_Financials'!D21/'Hist_Financials'!D6*365,0)+'Scenario_Library'!I20))/365)-'Hist_Financials'!D21 )-( (IFERROR(('Hist_Financials'!D6*(1+'Scenario_Library'!E20))*(1-(MAX(-0.5,MIN(0.9,IFERROR('Hist_Financials'!D8/'Hist_Financials'!D6,0)+'Scenario_Library'!F20/10000))))*(MAX(0,IFERROR('Hist_Financials'!D22/'Hist_Financials'!D7*365,0)+'Scenario_Library'!J20))/365,0))-'Hist_Financials'!D22 )+( (IFERROR(('Hist_Financials'!D6*(1+'Scenario_Library'!E20))*(1-(MAX(-0.5,MIN(0.9,IFERROR('Hist_Financials'!D8/'Hist_Financials'!D6,0)+'Scenario_Library'!F20/10000))))*(MAX(0,IFERROR('Hist_Financials'!D28/'Hist_Financials'!D7*365,0)+'Scenario_Library'!K20))/365,0))-'Hist_Financials'!D28 ))-('Hist_Financials'!D36*(1-'Scenario_Library'!P20))-('Hist_Financials'!D37*(1-'Scenario_Library'!Q20))-('Hist_Financials'!D38*(1-'Scenario_Library'!R20))-('Hist_Financials'!D27*(1-'Scenario_Library'!M20))-('Hist_Financials'!D30*'Scenario_Library'!N20*(1-'Scenario_Library'!O20)))) )/MAX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,0.01),99))&gt;'Scenario_Setup'!B13,(IFERROR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/MAX(((MAX(0,IFERROR('Hist_Financials'!D14/MAX('Hist_Financials'!D27+'Hist_Financials'!D30,1),0)+'Scenario_Library'!L20/10000))*('Hist_Financials'!D27+'Hist_Financials'!D30)),0.01),999))&lt;'Scenario_Setup'!B12,('Hist_Financials'!D32+(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-(MAX(0,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)*'Scenario_Library'!V20))-('Hist_Financials'!D37*(1-'Scenario_Library'!Q20))-('Hist_Financials'!D38*(1-'Scenario_Library'!R20)))&lt;0,(((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-(MAX(0,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)*'Scenario_Library'!V20))+'Hist_Financials'!D12+('Hist_Financials'!D24*'Scenario_Library'!S20)+('Hist_Financials'!D25*'Scenario_Library'!T20)-( (('Hist_Financials'!D6*(1+'Scenario_Library'!E20))*(MAX(0,IFERROR('Hist_Financials'!D21/'Hist_Financials'!D6*365,0)+'Scenario_Library'!I20))/365)-'Hist_Financials'!D21 )-( (IFERROR(('Hist_Financials'!D6*(1+'Scenario_Library'!E20))*(1-(MAX(-0.5,MIN(0.9,IFERROR('Hist_Financials'!D8/'Hist_Financials'!D6,0)+'Scenario_Library'!F20/10000))))*(MAX(0,IFERROR('Hist_Financials'!D22/'Hist_Financials'!D7*365,0)+'Scenario_Library'!J20))/365,0))-'Hist_Financials'!D22 )+( (IFERROR(('Hist_Financials'!D6*(1+'Scenario_Library'!E20))*(1-(MAX(-0.5,MIN(0.9,IFERROR('Hist_Financials'!D8/'Hist_Financials'!D6,0)+'Scenario_Library'!F20/10000))))*(MAX(0,IFERROR('Hist_Financials'!D28/'Hist_Financials'!D7*365,0)+'Scenario_Library'!K20))/365,0))-'Hist_Financials'!D28 ))-('Hist_Financials'!D36*(1-'Scenario_Library'!P20)))&lt;-0.2*'Hist_Financials'!D6),"CRITICAL",IF(AND((((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-(MAX(0,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)*'Scenario_Library'!V20))+'Hist_Financials'!D12+('Hist_Financials'!D24*'Scenario_Library'!S20)+('Hist_Financials'!D25*'Scenario_Library'!T20)-( (('Hist_Financials'!D6*(1+'Scenario_Library'!E20))*(MAX(0,IFERROR('Hist_Financials'!D21/'Hist_Financials'!D6*365,0)+'Scenario_Library'!I20))/365)-'Hist_Financials'!D21 )-( (IFERROR(('Hist_Financials'!D6*(1+'Scenario_Library'!E20))*(1-(MAX(-0.5,MIN(0.9,IFERROR('Hist_Financials'!D8/'Hist_Financials'!D6,0)+'Scenario_Library'!F20/10000))))*(MAX(0,IFERROR('Hist_Financials'!D22/'Hist_Financials'!D7*365,0)+'Scenario_Library'!J20))/365,0))-'Hist_Financials'!D22 )+( (IFERROR(('Hist_Financials'!D6*(1+'Scenario_Library'!E20))*(1-(MAX(-0.5,MIN(0.9,IFERROR('Hist_Financials'!D8/'Hist_Financials'!D6,0)+'Scenario_Library'!F20/10000))))*(MAX(0,IFERROR('Hist_Financials'!D28/'Hist_Financials'!D7*365,0)+'Scenario_Library'!K20))/365,0))-'Hist_Financials'!D28 ))-('Hist_Financials'!D36*(1-'Scenario_Library'!P20)))&gt;=0,(IFERROR(( (('Hist_Financials'!D27-('Hist_Financials'!D27*(1-'Scenario_Library'!M20)))+('Hist_Financials'!D30-('Hist_Financials'!D30*'Scenario_Library'!N20*(1-'Scenario_Library'!O20))))-(MAX(0,'Hist_Financials'!D20+((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-(MAX(0,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)*'Scenario_Library'!V20))+'Hist_Financials'!D12+('Hist_Financials'!D24*'Scenario_Library'!S20)+('Hist_Financials'!D25*'Scenario_Library'!T20)-( (('Hist_Financials'!D6*(1+'Scenario_Library'!E20))*(MAX(0,IFERROR('Hist_Financials'!D21/'Hist_Financials'!D6*365,0)+'Scenario_Library'!I20))/365)-'Hist_Financials'!D21 )-( (IFERROR(('Hist_Financials'!D6*(1+'Scenario_Library'!E20))*(1-(MAX(-0.5,MIN(0.9,IFERROR('Hist_Financials'!D8/'Hist_Financials'!D6,0)+'Scenario_Library'!F20/10000))))*(MAX(0,IFERROR('Hist_Financials'!D22/'Hist_Financials'!D7*365,0)+'Scenario_Library'!J20))/365,0))-'Hist_Financials'!D22 )+( (IFERROR(('Hist_Financials'!D6*(1+'Scenario_Library'!E20))*(1-(MAX(-0.5,MIN(0.9,IFERROR('Hist_Financials'!D8/'Hist_Financials'!D6,0)+'Scenario_Library'!F20/10000))))*(MAX(0,IFERROR('Hist_Financials'!D28/'Hist_Financials'!D7*365,0)+'Scenario_Library'!K20))/365,0))-'Hist_Financials'!D28 ))-('Hist_Financials'!D36*(1-'Scenario_Library'!P20))-('Hist_Financials'!D37*(1-'Scenario_Library'!Q20))-('Hist_Financials'!D38*(1-'Scenario_Library'!R20))-('Hist_Financials'!D27*(1-'Scenario_Library'!M20))-('Hist_Financials'!D30*'Scenario_Library'!N20*(1-'Scenario_Library'!O20)))) )/MAX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,0.01),99))&lt;3,(IFERROR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/MAX(((MAX(0,IFERROR('Hist_Financials'!D14/MAX('Hist_Financials'!D27+'Hist_Financials'!D30,1),0)+'Scenario_Library'!L20/10000))*('Hist_Financials'!D27+'Hist_Financials'!D30)),0.01),999))&gt;='Scenario_Setup'!B12,('Hist_Financials'!D32+(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-(MAX(0,((((('Hist_Financials'!D6*(1+'Scenario_Library'!E20))*(MAX(-0.5,MIN(0.9,IFERROR('Hist_Financials'!D8/'Hist_Financials'!D6,0)+'Scenario_Library'!F20/10000))))-(MAX(0,'Hist_Financials'!D9*(1+'Scenario_Setup'!B9*('Scenario_Library'!E20)+('Scenario_Library'!G20))))-(MAX(0,'Hist_Financials'!D10*(1+'Scenario_Library'!H20))))-'Hist_Financials'!D12)-((MAX(0,IFERROR('Hist_Financials'!D14/MAX('Hist_Financials'!D27+'Hist_Financials'!D30,1),0)+'Scenario_Library'!L20/10000))*('Hist_Financials'!D27+'Hist_Financials'!D30))-('Hist_Financials'!D24*'Scenario_Library'!S20)-('Hist_Financials'!D25*'Scenario_Library'!T20)-('Hist_Financials'!D6*'Scenario_Library'!U20)))*'Scenario_Library'!V20))-('Hist_Financials'!D37*(1-'Scenario_Library'!Q20))-('Hist_Financials'!D38*(1-'Scenario_Library'!R20)))&gt;0),"RESILIENT","WATCH")))</f>
        <v/>
      </c>
    </row>
    <row r="18" ht="17" customHeight="1" s="28">
      <c r="B18" s="230">
        <f>'Scenario_Library'!A21</f>
        <v/>
      </c>
      <c r="C18" s="232" t="inlineStr">
        <is>
          <t>Severe</t>
        </is>
      </c>
      <c r="D18" s="221">
        <f>'Hist_Financials'!D6*(1+'Scenario_Library'!E21)</f>
        <v/>
      </c>
      <c r="E18" s="219">
        <f>('Hist_Financials'!D6*(1+'Scenario_Library'!E21))-'Hist_Financials'!D6</f>
        <v/>
      </c>
      <c r="F18" s="220">
        <f>IFERROR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/('Hist_Financials'!D6*(1+'Scenario_Library'!E21)),0)</f>
        <v/>
      </c>
      <c r="G18" s="221">
        <f>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</f>
        <v/>
      </c>
      <c r="H18" s="219">
        <f>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11</f>
        <v/>
      </c>
      <c r="I18" s="221">
        <f>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-(MAX(0,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)*'Scenario_Library'!V21)</f>
        <v/>
      </c>
      <c r="J18" s="221">
        <f>((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-(MAX(0,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)*'Scenario_Library'!V21))+'Hist_Financials'!D12+('Hist_Financials'!D24*'Scenario_Library'!S21)+('Hist_Financials'!D25*'Scenario_Library'!T21)-( (('Hist_Financials'!D6*(1+'Scenario_Library'!E21))*(MAX(0,IFERROR('Hist_Financials'!D21/'Hist_Financials'!D6*365,0)+'Scenario_Library'!I21))/365)-'Hist_Financials'!D21 )-( (IFERROR(('Hist_Financials'!D6*(1+'Scenario_Library'!E21))*(1-(MAX(-0.5,MIN(0.9,IFERROR('Hist_Financials'!D8/'Hist_Financials'!D6,0)+'Scenario_Library'!F21/10000))))*(MAX(0,IFERROR('Hist_Financials'!D22/'Hist_Financials'!D7*365,0)+'Scenario_Library'!J21))/365,0))-'Hist_Financials'!D22 )+( (IFERROR(('Hist_Financials'!D6*(1+'Scenario_Library'!E21))*(1-(MAX(-0.5,MIN(0.9,IFERROR('Hist_Financials'!D8/'Hist_Financials'!D6,0)+'Scenario_Library'!F21/10000))))*(MAX(0,IFERROR('Hist_Financials'!D28/'Hist_Financials'!D7*365,0)+'Scenario_Library'!K21))/365,0))-'Hist_Financials'!D28 ))-('Hist_Financials'!D36*(1-'Scenario_Library'!P21))</f>
        <v/>
      </c>
      <c r="K18" s="221">
        <f>MAX(0,'Hist_Financials'!D20+((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-(MAX(0,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)*'Scenario_Library'!V21))+'Hist_Financials'!D12+('Hist_Financials'!D24*'Scenario_Library'!S21)+('Hist_Financials'!D25*'Scenario_Library'!T21)-( (('Hist_Financials'!D6*(1+'Scenario_Library'!E21))*(MAX(0,IFERROR('Hist_Financials'!D21/'Hist_Financials'!D6*365,0)+'Scenario_Library'!I21))/365)-'Hist_Financials'!D21 )-( (IFERROR(('Hist_Financials'!D6*(1+'Scenario_Library'!E21))*(1-(MAX(-0.5,MIN(0.9,IFERROR('Hist_Financials'!D8/'Hist_Financials'!D6,0)+'Scenario_Library'!F21/10000))))*(MAX(0,IFERROR('Hist_Financials'!D22/'Hist_Financials'!D7*365,0)+'Scenario_Library'!J21))/365,0))-'Hist_Financials'!D22 )+( (IFERROR(('Hist_Financials'!D6*(1+'Scenario_Library'!E21))*(1-(MAX(-0.5,MIN(0.9,IFERROR('Hist_Financials'!D8/'Hist_Financials'!D6,0)+'Scenario_Library'!F21/10000))))*(MAX(0,IFERROR('Hist_Financials'!D28/'Hist_Financials'!D7*365,0)+'Scenario_Library'!K21))/365,0))-'Hist_Financials'!D28 ))-('Hist_Financials'!D36*(1-'Scenario_Library'!P21))-('Hist_Financials'!D37*(1-'Scenario_Library'!Q21))-('Hist_Financials'!D38*(1-'Scenario_Library'!R21))-('Hist_Financials'!D27*(1-'Scenario_Library'!M21))-('Hist_Financials'!D30*'Scenario_Library'!N21*(1-'Scenario_Library'!O21)))</f>
        <v/>
      </c>
      <c r="L18" s="222">
        <f>IF('Hist_Financials'!D6=0,"",IFERROR(( (('Hist_Financials'!D27-('Hist_Financials'!D27*(1-'Scenario_Library'!M21)))+('Hist_Financials'!D30-('Hist_Financials'!D30*'Scenario_Library'!N21*(1-'Scenario_Library'!O21))))-(MAX(0,'Hist_Financials'!D20+((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-(MAX(0,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)*'Scenario_Library'!V21))+'Hist_Financials'!D12+('Hist_Financials'!D24*'Scenario_Library'!S21)+('Hist_Financials'!D25*'Scenario_Library'!T21)-( (('Hist_Financials'!D6*(1+'Scenario_Library'!E21))*(MAX(0,IFERROR('Hist_Financials'!D21/'Hist_Financials'!D6*365,0)+'Scenario_Library'!I21))/365)-'Hist_Financials'!D21 )-( (IFERROR(('Hist_Financials'!D6*(1+'Scenario_Library'!E21))*(1-(MAX(-0.5,MIN(0.9,IFERROR('Hist_Financials'!D8/'Hist_Financials'!D6,0)+'Scenario_Library'!F21/10000))))*(MAX(0,IFERROR('Hist_Financials'!D22/'Hist_Financials'!D7*365,0)+'Scenario_Library'!J21))/365,0))-'Hist_Financials'!D22 )+( (IFERROR(('Hist_Financials'!D6*(1+'Scenario_Library'!E21))*(1-(MAX(-0.5,MIN(0.9,IFERROR('Hist_Financials'!D8/'Hist_Financials'!D6,0)+'Scenario_Library'!F21/10000))))*(MAX(0,IFERROR('Hist_Financials'!D28/'Hist_Financials'!D7*365,0)+'Scenario_Library'!K21))/365,0))-'Hist_Financials'!D28 ))-('Hist_Financials'!D36*(1-'Scenario_Library'!P21))-('Hist_Financials'!D37*(1-'Scenario_Library'!Q21))-('Hist_Financials'!D38*(1-'Scenario_Library'!R21))-('Hist_Financials'!D27*(1-'Scenario_Library'!M21))-('Hist_Financials'!D30*'Scenario_Library'!N21*(1-'Scenario_Library'!O21)))) )/MAX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,0.01),99))</f>
        <v/>
      </c>
      <c r="M18" s="222">
        <f>IF('Hist_Financials'!D6=0,"",IFERROR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/MAX(((MAX(0,IFERROR('Hist_Financials'!D14/MAX('Hist_Financials'!D27+'Hist_Financials'!D30,1),0)+'Scenario_Library'!L21/10000))*('Hist_Financials'!D27+'Hist_Financials'!D30)),0.01),999))</f>
        <v/>
      </c>
      <c r="N18" s="218">
        <f>IF('Hist_Financials'!D6=0,"— NO DATA —",IF(OR((IFERROR(( (('Hist_Financials'!D27-('Hist_Financials'!D27*(1-'Scenario_Library'!M21)))+('Hist_Financials'!D30-('Hist_Financials'!D30*'Scenario_Library'!N21*(1-'Scenario_Library'!O21))))-(MAX(0,'Hist_Financials'!D20+((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-(MAX(0,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)*'Scenario_Library'!V21))+'Hist_Financials'!D12+('Hist_Financials'!D24*'Scenario_Library'!S21)+('Hist_Financials'!D25*'Scenario_Library'!T21)-( (('Hist_Financials'!D6*(1+'Scenario_Library'!E21))*(MAX(0,IFERROR('Hist_Financials'!D21/'Hist_Financials'!D6*365,0)+'Scenario_Library'!I21))/365)-'Hist_Financials'!D21 )-( (IFERROR(('Hist_Financials'!D6*(1+'Scenario_Library'!E21))*(1-(MAX(-0.5,MIN(0.9,IFERROR('Hist_Financials'!D8/'Hist_Financials'!D6,0)+'Scenario_Library'!F21/10000))))*(MAX(0,IFERROR('Hist_Financials'!D22/'Hist_Financials'!D7*365,0)+'Scenario_Library'!J21))/365,0))-'Hist_Financials'!D22 )+( (IFERROR(('Hist_Financials'!D6*(1+'Scenario_Library'!E21))*(1-(MAX(-0.5,MIN(0.9,IFERROR('Hist_Financials'!D8/'Hist_Financials'!D6,0)+'Scenario_Library'!F21/10000))))*(MAX(0,IFERROR('Hist_Financials'!D28/'Hist_Financials'!D7*365,0)+'Scenario_Library'!K21))/365,0))-'Hist_Financials'!D28 ))-('Hist_Financials'!D36*(1-'Scenario_Library'!P21))-('Hist_Financials'!D37*(1-'Scenario_Library'!Q21))-('Hist_Financials'!D38*(1-'Scenario_Library'!R21))-('Hist_Financials'!D27*(1-'Scenario_Library'!M21))-('Hist_Financials'!D30*'Scenario_Library'!N21*(1-'Scenario_Library'!O21)))) )/MAX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,0.01),99))&gt;'Scenario_Setup'!B13,(IFERROR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/MAX(((MAX(0,IFERROR('Hist_Financials'!D14/MAX('Hist_Financials'!D27+'Hist_Financials'!D30,1),0)+'Scenario_Library'!L21/10000))*('Hist_Financials'!D27+'Hist_Financials'!D30)),0.01),999))&lt;'Scenario_Setup'!B12,('Hist_Financials'!D32+(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-(MAX(0,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)*'Scenario_Library'!V21))-('Hist_Financials'!D37*(1-'Scenario_Library'!Q21))-('Hist_Financials'!D38*(1-'Scenario_Library'!R21)))&lt;0,(((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-(MAX(0,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)*'Scenario_Library'!V21))+'Hist_Financials'!D12+('Hist_Financials'!D24*'Scenario_Library'!S21)+('Hist_Financials'!D25*'Scenario_Library'!T21)-( (('Hist_Financials'!D6*(1+'Scenario_Library'!E21))*(MAX(0,IFERROR('Hist_Financials'!D21/'Hist_Financials'!D6*365,0)+'Scenario_Library'!I21))/365)-'Hist_Financials'!D21 )-( (IFERROR(('Hist_Financials'!D6*(1+'Scenario_Library'!E21))*(1-(MAX(-0.5,MIN(0.9,IFERROR('Hist_Financials'!D8/'Hist_Financials'!D6,0)+'Scenario_Library'!F21/10000))))*(MAX(0,IFERROR('Hist_Financials'!D22/'Hist_Financials'!D7*365,0)+'Scenario_Library'!J21))/365,0))-'Hist_Financials'!D22 )+( (IFERROR(('Hist_Financials'!D6*(1+'Scenario_Library'!E21))*(1-(MAX(-0.5,MIN(0.9,IFERROR('Hist_Financials'!D8/'Hist_Financials'!D6,0)+'Scenario_Library'!F21/10000))))*(MAX(0,IFERROR('Hist_Financials'!D28/'Hist_Financials'!D7*365,0)+'Scenario_Library'!K21))/365,0))-'Hist_Financials'!D28 ))-('Hist_Financials'!D36*(1-'Scenario_Library'!P21)))&lt;-0.2*'Hist_Financials'!D6),"CRITICAL",IF(AND((((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-(MAX(0,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)*'Scenario_Library'!V21))+'Hist_Financials'!D12+('Hist_Financials'!D24*'Scenario_Library'!S21)+('Hist_Financials'!D25*'Scenario_Library'!T21)-( (('Hist_Financials'!D6*(1+'Scenario_Library'!E21))*(MAX(0,IFERROR('Hist_Financials'!D21/'Hist_Financials'!D6*365,0)+'Scenario_Library'!I21))/365)-'Hist_Financials'!D21 )-( (IFERROR(('Hist_Financials'!D6*(1+'Scenario_Library'!E21))*(1-(MAX(-0.5,MIN(0.9,IFERROR('Hist_Financials'!D8/'Hist_Financials'!D6,0)+'Scenario_Library'!F21/10000))))*(MAX(0,IFERROR('Hist_Financials'!D22/'Hist_Financials'!D7*365,0)+'Scenario_Library'!J21))/365,0))-'Hist_Financials'!D22 )+( (IFERROR(('Hist_Financials'!D6*(1+'Scenario_Library'!E21))*(1-(MAX(-0.5,MIN(0.9,IFERROR('Hist_Financials'!D8/'Hist_Financials'!D6,0)+'Scenario_Library'!F21/10000))))*(MAX(0,IFERROR('Hist_Financials'!D28/'Hist_Financials'!D7*365,0)+'Scenario_Library'!K21))/365,0))-'Hist_Financials'!D28 ))-('Hist_Financials'!D36*(1-'Scenario_Library'!P21)))&gt;=0,(IFERROR(( (('Hist_Financials'!D27-('Hist_Financials'!D27*(1-'Scenario_Library'!M21)))+('Hist_Financials'!D30-('Hist_Financials'!D30*'Scenario_Library'!N21*(1-'Scenario_Library'!O21))))-(MAX(0,'Hist_Financials'!D20+((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-(MAX(0,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)*'Scenario_Library'!V21))+'Hist_Financials'!D12+('Hist_Financials'!D24*'Scenario_Library'!S21)+('Hist_Financials'!D25*'Scenario_Library'!T21)-( (('Hist_Financials'!D6*(1+'Scenario_Library'!E21))*(MAX(0,IFERROR('Hist_Financials'!D21/'Hist_Financials'!D6*365,0)+'Scenario_Library'!I21))/365)-'Hist_Financials'!D21 )-( (IFERROR(('Hist_Financials'!D6*(1+'Scenario_Library'!E21))*(1-(MAX(-0.5,MIN(0.9,IFERROR('Hist_Financials'!D8/'Hist_Financials'!D6,0)+'Scenario_Library'!F21/10000))))*(MAX(0,IFERROR('Hist_Financials'!D22/'Hist_Financials'!D7*365,0)+'Scenario_Library'!J21))/365,0))-'Hist_Financials'!D22 )+( (IFERROR(('Hist_Financials'!D6*(1+'Scenario_Library'!E21))*(1-(MAX(-0.5,MIN(0.9,IFERROR('Hist_Financials'!D8/'Hist_Financials'!D6,0)+'Scenario_Library'!F21/10000))))*(MAX(0,IFERROR('Hist_Financials'!D28/'Hist_Financials'!D7*365,0)+'Scenario_Library'!K21))/365,0))-'Hist_Financials'!D28 ))-('Hist_Financials'!D36*(1-'Scenario_Library'!P21))-('Hist_Financials'!D37*(1-'Scenario_Library'!Q21))-('Hist_Financials'!D38*(1-'Scenario_Library'!R21))-('Hist_Financials'!D27*(1-'Scenario_Library'!M21))-('Hist_Financials'!D30*'Scenario_Library'!N21*(1-'Scenario_Library'!O21)))) )/MAX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,0.01),99))&lt;3,(IFERROR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/MAX(((MAX(0,IFERROR('Hist_Financials'!D14/MAX('Hist_Financials'!D27+'Hist_Financials'!D30,1),0)+'Scenario_Library'!L21/10000))*('Hist_Financials'!D27+'Hist_Financials'!D30)),0.01),999))&gt;='Scenario_Setup'!B12,('Hist_Financials'!D32+(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-(MAX(0,((((('Hist_Financials'!D6*(1+'Scenario_Library'!E21))*(MAX(-0.5,MIN(0.9,IFERROR('Hist_Financials'!D8/'Hist_Financials'!D6,0)+'Scenario_Library'!F21/10000))))-(MAX(0,'Hist_Financials'!D9*(1+'Scenario_Setup'!B9*('Scenario_Library'!E21)+('Scenario_Library'!G21))))-(MAX(0,'Hist_Financials'!D10*(1+'Scenario_Library'!H21))))-'Hist_Financials'!D12)-((MAX(0,IFERROR('Hist_Financials'!D14/MAX('Hist_Financials'!D27+'Hist_Financials'!D30,1),0)+'Scenario_Library'!L21/10000))*('Hist_Financials'!D27+'Hist_Financials'!D30))-('Hist_Financials'!D24*'Scenario_Library'!S21)-('Hist_Financials'!D25*'Scenario_Library'!T21)-('Hist_Financials'!D6*'Scenario_Library'!U21)))*'Scenario_Library'!V21))-('Hist_Financials'!D37*(1-'Scenario_Library'!Q21))-('Hist_Financials'!D38*(1-'Scenario_Library'!R21)))&gt;0),"RESILIENT","WATCH")))</f>
        <v/>
      </c>
    </row>
    <row r="19" ht="17" customHeight="1" s="28">
      <c r="B19" s="223">
        <f>'Scenario_Library'!A22</f>
        <v/>
      </c>
      <c r="C19" s="224" t="inlineStr">
        <is>
          <t>Light</t>
        </is>
      </c>
      <c r="D19" s="225">
        <f>'Hist_Financials'!D6*(1+'Scenario_Library'!E22)</f>
        <v/>
      </c>
      <c r="E19" s="226">
        <f>('Hist_Financials'!D6*(1+'Scenario_Library'!E22))-'Hist_Financials'!D6</f>
        <v/>
      </c>
      <c r="F19" s="227">
        <f>IFERROR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/('Hist_Financials'!D6*(1+'Scenario_Library'!E22)),0)</f>
        <v/>
      </c>
      <c r="G19" s="225">
        <f>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</f>
        <v/>
      </c>
      <c r="H19" s="226">
        <f>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11</f>
        <v/>
      </c>
      <c r="I19" s="225">
        <f>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-(MAX(0,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)*'Scenario_Library'!V22)</f>
        <v/>
      </c>
      <c r="J19" s="225">
        <f>((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-(MAX(0,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)*'Scenario_Library'!V22))+'Hist_Financials'!D12+('Hist_Financials'!D24*'Scenario_Library'!S22)+('Hist_Financials'!D25*'Scenario_Library'!T22)-( (('Hist_Financials'!D6*(1+'Scenario_Library'!E22))*(MAX(0,IFERROR('Hist_Financials'!D21/'Hist_Financials'!D6*365,0)+'Scenario_Library'!I22))/365)-'Hist_Financials'!D21 )-( (IFERROR(('Hist_Financials'!D6*(1+'Scenario_Library'!E22))*(1-(MAX(-0.5,MIN(0.9,IFERROR('Hist_Financials'!D8/'Hist_Financials'!D6,0)+'Scenario_Library'!F22/10000))))*(MAX(0,IFERROR('Hist_Financials'!D22/'Hist_Financials'!D7*365,0)+'Scenario_Library'!J22))/365,0))-'Hist_Financials'!D22 )+( (IFERROR(('Hist_Financials'!D6*(1+'Scenario_Library'!E22))*(1-(MAX(-0.5,MIN(0.9,IFERROR('Hist_Financials'!D8/'Hist_Financials'!D6,0)+'Scenario_Library'!F22/10000))))*(MAX(0,IFERROR('Hist_Financials'!D28/'Hist_Financials'!D7*365,0)+'Scenario_Library'!K22))/365,0))-'Hist_Financials'!D28 ))-('Hist_Financials'!D36*(1-'Scenario_Library'!P22))</f>
        <v/>
      </c>
      <c r="K19" s="225">
        <f>MAX(0,'Hist_Financials'!D20+((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-(MAX(0,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)*'Scenario_Library'!V22))+'Hist_Financials'!D12+('Hist_Financials'!D24*'Scenario_Library'!S22)+('Hist_Financials'!D25*'Scenario_Library'!T22)-( (('Hist_Financials'!D6*(1+'Scenario_Library'!E22))*(MAX(0,IFERROR('Hist_Financials'!D21/'Hist_Financials'!D6*365,0)+'Scenario_Library'!I22))/365)-'Hist_Financials'!D21 )-( (IFERROR(('Hist_Financials'!D6*(1+'Scenario_Library'!E22))*(1-(MAX(-0.5,MIN(0.9,IFERROR('Hist_Financials'!D8/'Hist_Financials'!D6,0)+'Scenario_Library'!F22/10000))))*(MAX(0,IFERROR('Hist_Financials'!D22/'Hist_Financials'!D7*365,0)+'Scenario_Library'!J22))/365,0))-'Hist_Financials'!D22 )+( (IFERROR(('Hist_Financials'!D6*(1+'Scenario_Library'!E22))*(1-(MAX(-0.5,MIN(0.9,IFERROR('Hist_Financials'!D8/'Hist_Financials'!D6,0)+'Scenario_Library'!F22/10000))))*(MAX(0,IFERROR('Hist_Financials'!D28/'Hist_Financials'!D7*365,0)+'Scenario_Library'!K22))/365,0))-'Hist_Financials'!D28 ))-('Hist_Financials'!D36*(1-'Scenario_Library'!P22))-('Hist_Financials'!D37*(1-'Scenario_Library'!Q22))-('Hist_Financials'!D38*(1-'Scenario_Library'!R22))-('Hist_Financials'!D27*(1-'Scenario_Library'!M22))-('Hist_Financials'!D30*'Scenario_Library'!N22*(1-'Scenario_Library'!O22)))</f>
        <v/>
      </c>
      <c r="L19" s="228">
        <f>IF('Hist_Financials'!D6=0,"",IFERROR(( (('Hist_Financials'!D27-('Hist_Financials'!D27*(1-'Scenario_Library'!M22)))+('Hist_Financials'!D30-('Hist_Financials'!D30*'Scenario_Library'!N22*(1-'Scenario_Library'!O22))))-(MAX(0,'Hist_Financials'!D20+((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-(MAX(0,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)*'Scenario_Library'!V22))+'Hist_Financials'!D12+('Hist_Financials'!D24*'Scenario_Library'!S22)+('Hist_Financials'!D25*'Scenario_Library'!T22)-( (('Hist_Financials'!D6*(1+'Scenario_Library'!E22))*(MAX(0,IFERROR('Hist_Financials'!D21/'Hist_Financials'!D6*365,0)+'Scenario_Library'!I22))/365)-'Hist_Financials'!D21 )-( (IFERROR(('Hist_Financials'!D6*(1+'Scenario_Library'!E22))*(1-(MAX(-0.5,MIN(0.9,IFERROR('Hist_Financials'!D8/'Hist_Financials'!D6,0)+'Scenario_Library'!F22/10000))))*(MAX(0,IFERROR('Hist_Financials'!D22/'Hist_Financials'!D7*365,0)+'Scenario_Library'!J22))/365,0))-'Hist_Financials'!D22 )+( (IFERROR(('Hist_Financials'!D6*(1+'Scenario_Library'!E22))*(1-(MAX(-0.5,MIN(0.9,IFERROR('Hist_Financials'!D8/'Hist_Financials'!D6,0)+'Scenario_Library'!F22/10000))))*(MAX(0,IFERROR('Hist_Financials'!D28/'Hist_Financials'!D7*365,0)+'Scenario_Library'!K22))/365,0))-'Hist_Financials'!D28 ))-('Hist_Financials'!D36*(1-'Scenario_Library'!P22))-('Hist_Financials'!D37*(1-'Scenario_Library'!Q22))-('Hist_Financials'!D38*(1-'Scenario_Library'!R22))-('Hist_Financials'!D27*(1-'Scenario_Library'!M22))-('Hist_Financials'!D30*'Scenario_Library'!N22*(1-'Scenario_Library'!O22)))) )/MAX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,0.01),99))</f>
        <v/>
      </c>
      <c r="M19" s="228">
        <f>IF('Hist_Financials'!D6=0,"",IFERROR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/MAX(((MAX(0,IFERROR('Hist_Financials'!D14/MAX('Hist_Financials'!D27+'Hist_Financials'!D30,1),0)+'Scenario_Library'!L22/10000))*('Hist_Financials'!D27+'Hist_Financials'!D30)),0.01),999))</f>
        <v/>
      </c>
      <c r="N19" s="229">
        <f>IF('Hist_Financials'!D6=0,"— NO DATA —",IF(OR((IFERROR(( (('Hist_Financials'!D27-('Hist_Financials'!D27*(1-'Scenario_Library'!M22)))+('Hist_Financials'!D30-('Hist_Financials'!D30*'Scenario_Library'!N22*(1-'Scenario_Library'!O22))))-(MAX(0,'Hist_Financials'!D20+((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-(MAX(0,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)*'Scenario_Library'!V22))+'Hist_Financials'!D12+('Hist_Financials'!D24*'Scenario_Library'!S22)+('Hist_Financials'!D25*'Scenario_Library'!T22)-( (('Hist_Financials'!D6*(1+'Scenario_Library'!E22))*(MAX(0,IFERROR('Hist_Financials'!D21/'Hist_Financials'!D6*365,0)+'Scenario_Library'!I22))/365)-'Hist_Financials'!D21 )-( (IFERROR(('Hist_Financials'!D6*(1+'Scenario_Library'!E22))*(1-(MAX(-0.5,MIN(0.9,IFERROR('Hist_Financials'!D8/'Hist_Financials'!D6,0)+'Scenario_Library'!F22/10000))))*(MAX(0,IFERROR('Hist_Financials'!D22/'Hist_Financials'!D7*365,0)+'Scenario_Library'!J22))/365,0))-'Hist_Financials'!D22 )+( (IFERROR(('Hist_Financials'!D6*(1+'Scenario_Library'!E22))*(1-(MAX(-0.5,MIN(0.9,IFERROR('Hist_Financials'!D8/'Hist_Financials'!D6,0)+'Scenario_Library'!F22/10000))))*(MAX(0,IFERROR('Hist_Financials'!D28/'Hist_Financials'!D7*365,0)+'Scenario_Library'!K22))/365,0))-'Hist_Financials'!D28 ))-('Hist_Financials'!D36*(1-'Scenario_Library'!P22))-('Hist_Financials'!D37*(1-'Scenario_Library'!Q22))-('Hist_Financials'!D38*(1-'Scenario_Library'!R22))-('Hist_Financials'!D27*(1-'Scenario_Library'!M22))-('Hist_Financials'!D30*'Scenario_Library'!N22*(1-'Scenario_Library'!O22)))) )/MAX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,0.01),99))&gt;'Scenario_Setup'!B13,(IFERROR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/MAX(((MAX(0,IFERROR('Hist_Financials'!D14/MAX('Hist_Financials'!D27+'Hist_Financials'!D30,1),0)+'Scenario_Library'!L22/10000))*('Hist_Financials'!D27+'Hist_Financials'!D30)),0.01),999))&lt;'Scenario_Setup'!B12,('Hist_Financials'!D32+(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-(MAX(0,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)*'Scenario_Library'!V22))-('Hist_Financials'!D37*(1-'Scenario_Library'!Q22))-('Hist_Financials'!D38*(1-'Scenario_Library'!R22)))&lt;0,(((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-(MAX(0,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)*'Scenario_Library'!V22))+'Hist_Financials'!D12+('Hist_Financials'!D24*'Scenario_Library'!S22)+('Hist_Financials'!D25*'Scenario_Library'!T22)-( (('Hist_Financials'!D6*(1+'Scenario_Library'!E22))*(MAX(0,IFERROR('Hist_Financials'!D21/'Hist_Financials'!D6*365,0)+'Scenario_Library'!I22))/365)-'Hist_Financials'!D21 )-( (IFERROR(('Hist_Financials'!D6*(1+'Scenario_Library'!E22))*(1-(MAX(-0.5,MIN(0.9,IFERROR('Hist_Financials'!D8/'Hist_Financials'!D6,0)+'Scenario_Library'!F22/10000))))*(MAX(0,IFERROR('Hist_Financials'!D22/'Hist_Financials'!D7*365,0)+'Scenario_Library'!J22))/365,0))-'Hist_Financials'!D22 )+( (IFERROR(('Hist_Financials'!D6*(1+'Scenario_Library'!E22))*(1-(MAX(-0.5,MIN(0.9,IFERROR('Hist_Financials'!D8/'Hist_Financials'!D6,0)+'Scenario_Library'!F22/10000))))*(MAX(0,IFERROR('Hist_Financials'!D28/'Hist_Financials'!D7*365,0)+'Scenario_Library'!K22))/365,0))-'Hist_Financials'!D28 ))-('Hist_Financials'!D36*(1-'Scenario_Library'!P22)))&lt;-0.2*'Hist_Financials'!D6),"CRITICAL",IF(AND((((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-(MAX(0,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)*'Scenario_Library'!V22))+'Hist_Financials'!D12+('Hist_Financials'!D24*'Scenario_Library'!S22)+('Hist_Financials'!D25*'Scenario_Library'!T22)-( (('Hist_Financials'!D6*(1+'Scenario_Library'!E22))*(MAX(0,IFERROR('Hist_Financials'!D21/'Hist_Financials'!D6*365,0)+'Scenario_Library'!I22))/365)-'Hist_Financials'!D21 )-( (IFERROR(('Hist_Financials'!D6*(1+'Scenario_Library'!E22))*(1-(MAX(-0.5,MIN(0.9,IFERROR('Hist_Financials'!D8/'Hist_Financials'!D6,0)+'Scenario_Library'!F22/10000))))*(MAX(0,IFERROR('Hist_Financials'!D22/'Hist_Financials'!D7*365,0)+'Scenario_Library'!J22))/365,0))-'Hist_Financials'!D22 )+( (IFERROR(('Hist_Financials'!D6*(1+'Scenario_Library'!E22))*(1-(MAX(-0.5,MIN(0.9,IFERROR('Hist_Financials'!D8/'Hist_Financials'!D6,0)+'Scenario_Library'!F22/10000))))*(MAX(0,IFERROR('Hist_Financials'!D28/'Hist_Financials'!D7*365,0)+'Scenario_Library'!K22))/365,0))-'Hist_Financials'!D28 ))-('Hist_Financials'!D36*(1-'Scenario_Library'!P22)))&gt;=0,(IFERROR(( (('Hist_Financials'!D27-('Hist_Financials'!D27*(1-'Scenario_Library'!M22)))+('Hist_Financials'!D30-('Hist_Financials'!D30*'Scenario_Library'!N22*(1-'Scenario_Library'!O22))))-(MAX(0,'Hist_Financials'!D20+((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-(MAX(0,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)*'Scenario_Library'!V22))+'Hist_Financials'!D12+('Hist_Financials'!D24*'Scenario_Library'!S22)+('Hist_Financials'!D25*'Scenario_Library'!T22)-( (('Hist_Financials'!D6*(1+'Scenario_Library'!E22))*(MAX(0,IFERROR('Hist_Financials'!D21/'Hist_Financials'!D6*365,0)+'Scenario_Library'!I22))/365)-'Hist_Financials'!D21 )-( (IFERROR(('Hist_Financials'!D6*(1+'Scenario_Library'!E22))*(1-(MAX(-0.5,MIN(0.9,IFERROR('Hist_Financials'!D8/'Hist_Financials'!D6,0)+'Scenario_Library'!F22/10000))))*(MAX(0,IFERROR('Hist_Financials'!D22/'Hist_Financials'!D7*365,0)+'Scenario_Library'!J22))/365,0))-'Hist_Financials'!D22 )+( (IFERROR(('Hist_Financials'!D6*(1+'Scenario_Library'!E22))*(1-(MAX(-0.5,MIN(0.9,IFERROR('Hist_Financials'!D8/'Hist_Financials'!D6,0)+'Scenario_Library'!F22/10000))))*(MAX(0,IFERROR('Hist_Financials'!D28/'Hist_Financials'!D7*365,0)+'Scenario_Library'!K22))/365,0))-'Hist_Financials'!D28 ))-('Hist_Financials'!D36*(1-'Scenario_Library'!P22))-('Hist_Financials'!D37*(1-'Scenario_Library'!Q22))-('Hist_Financials'!D38*(1-'Scenario_Library'!R22))-('Hist_Financials'!D27*(1-'Scenario_Library'!M22))-('Hist_Financials'!D30*'Scenario_Library'!N22*(1-'Scenario_Library'!O22)))) )/MAX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,0.01),99))&lt;3,(IFERROR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/MAX(((MAX(0,IFERROR('Hist_Financials'!D14/MAX('Hist_Financials'!D27+'Hist_Financials'!D30,1),0)+'Scenario_Library'!L22/10000))*('Hist_Financials'!D27+'Hist_Financials'!D30)),0.01),999))&gt;='Scenario_Setup'!B12,('Hist_Financials'!D32+(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-(MAX(0,((((('Hist_Financials'!D6*(1+'Scenario_Library'!E22))*(MAX(-0.5,MIN(0.9,IFERROR('Hist_Financials'!D8/'Hist_Financials'!D6,0)+'Scenario_Library'!F22/10000))))-(MAX(0,'Hist_Financials'!D9*(1+'Scenario_Setup'!B9*('Scenario_Library'!E22)+('Scenario_Library'!G22))))-(MAX(0,'Hist_Financials'!D10*(1+'Scenario_Library'!H22))))-'Hist_Financials'!D12)-((MAX(0,IFERROR('Hist_Financials'!D14/MAX('Hist_Financials'!D27+'Hist_Financials'!D30,1),0)+'Scenario_Library'!L22/10000))*('Hist_Financials'!D27+'Hist_Financials'!D30))-('Hist_Financials'!D24*'Scenario_Library'!S22)-('Hist_Financials'!D25*'Scenario_Library'!T22)-('Hist_Financials'!D6*'Scenario_Library'!U22)))*'Scenario_Library'!V22))-('Hist_Financials'!D37*(1-'Scenario_Library'!Q22))-('Hist_Financials'!D38*(1-'Scenario_Library'!R22)))&gt;0),"RESILIENT","WATCH")))</f>
        <v/>
      </c>
    </row>
    <row r="20" ht="17" customHeight="1" s="28">
      <c r="B20" s="230">
        <f>'Scenario_Library'!A23</f>
        <v/>
      </c>
      <c r="C20" s="231" t="inlineStr">
        <is>
          <t>Base</t>
        </is>
      </c>
      <c r="D20" s="215">
        <f>'Hist_Financials'!D6*(1+'Scenario_Library'!E23)</f>
        <v/>
      </c>
      <c r="E20" s="213">
        <f>('Hist_Financials'!D6*(1+'Scenario_Library'!E23))-'Hist_Financials'!D6</f>
        <v/>
      </c>
      <c r="F20" s="214">
        <f>IFERROR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/('Hist_Financials'!D6*(1+'Scenario_Library'!E23)),0)</f>
        <v/>
      </c>
      <c r="G20" s="215">
        <f>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</f>
        <v/>
      </c>
      <c r="H20" s="213">
        <f>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11</f>
        <v/>
      </c>
      <c r="I20" s="215">
        <f>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-(MAX(0,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)*'Scenario_Library'!V23)</f>
        <v/>
      </c>
      <c r="J20" s="215">
        <f>((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-(MAX(0,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)*'Scenario_Library'!V23))+'Hist_Financials'!D12+('Hist_Financials'!D24*'Scenario_Library'!S23)+('Hist_Financials'!D25*'Scenario_Library'!T23)-( (('Hist_Financials'!D6*(1+'Scenario_Library'!E23))*(MAX(0,IFERROR('Hist_Financials'!D21/'Hist_Financials'!D6*365,0)+'Scenario_Library'!I23))/365)-'Hist_Financials'!D21 )-( (IFERROR(('Hist_Financials'!D6*(1+'Scenario_Library'!E23))*(1-(MAX(-0.5,MIN(0.9,IFERROR('Hist_Financials'!D8/'Hist_Financials'!D6,0)+'Scenario_Library'!F23/10000))))*(MAX(0,IFERROR('Hist_Financials'!D22/'Hist_Financials'!D7*365,0)+'Scenario_Library'!J23))/365,0))-'Hist_Financials'!D22 )+( (IFERROR(('Hist_Financials'!D6*(1+'Scenario_Library'!E23))*(1-(MAX(-0.5,MIN(0.9,IFERROR('Hist_Financials'!D8/'Hist_Financials'!D6,0)+'Scenario_Library'!F23/10000))))*(MAX(0,IFERROR('Hist_Financials'!D28/'Hist_Financials'!D7*365,0)+'Scenario_Library'!K23))/365,0))-'Hist_Financials'!D28 ))-('Hist_Financials'!D36*(1-'Scenario_Library'!P23))</f>
        <v/>
      </c>
      <c r="K20" s="215">
        <f>MAX(0,'Hist_Financials'!D20+((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-(MAX(0,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)*'Scenario_Library'!V23))+'Hist_Financials'!D12+('Hist_Financials'!D24*'Scenario_Library'!S23)+('Hist_Financials'!D25*'Scenario_Library'!T23)-( (('Hist_Financials'!D6*(1+'Scenario_Library'!E23))*(MAX(0,IFERROR('Hist_Financials'!D21/'Hist_Financials'!D6*365,0)+'Scenario_Library'!I23))/365)-'Hist_Financials'!D21 )-( (IFERROR(('Hist_Financials'!D6*(1+'Scenario_Library'!E23))*(1-(MAX(-0.5,MIN(0.9,IFERROR('Hist_Financials'!D8/'Hist_Financials'!D6,0)+'Scenario_Library'!F23/10000))))*(MAX(0,IFERROR('Hist_Financials'!D22/'Hist_Financials'!D7*365,0)+'Scenario_Library'!J23))/365,0))-'Hist_Financials'!D22 )+( (IFERROR(('Hist_Financials'!D6*(1+'Scenario_Library'!E23))*(1-(MAX(-0.5,MIN(0.9,IFERROR('Hist_Financials'!D8/'Hist_Financials'!D6,0)+'Scenario_Library'!F23/10000))))*(MAX(0,IFERROR('Hist_Financials'!D28/'Hist_Financials'!D7*365,0)+'Scenario_Library'!K23))/365,0))-'Hist_Financials'!D28 ))-('Hist_Financials'!D36*(1-'Scenario_Library'!P23))-('Hist_Financials'!D37*(1-'Scenario_Library'!Q23))-('Hist_Financials'!D38*(1-'Scenario_Library'!R23))-('Hist_Financials'!D27*(1-'Scenario_Library'!M23))-('Hist_Financials'!D30*'Scenario_Library'!N23*(1-'Scenario_Library'!O23)))</f>
        <v/>
      </c>
      <c r="L20" s="216">
        <f>IF('Hist_Financials'!D6=0,"",IFERROR(( (('Hist_Financials'!D27-('Hist_Financials'!D27*(1-'Scenario_Library'!M23)))+('Hist_Financials'!D30-('Hist_Financials'!D30*'Scenario_Library'!N23*(1-'Scenario_Library'!O23))))-(MAX(0,'Hist_Financials'!D20+((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-(MAX(0,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)*'Scenario_Library'!V23))+'Hist_Financials'!D12+('Hist_Financials'!D24*'Scenario_Library'!S23)+('Hist_Financials'!D25*'Scenario_Library'!T23)-( (('Hist_Financials'!D6*(1+'Scenario_Library'!E23))*(MAX(0,IFERROR('Hist_Financials'!D21/'Hist_Financials'!D6*365,0)+'Scenario_Library'!I23))/365)-'Hist_Financials'!D21 )-( (IFERROR(('Hist_Financials'!D6*(1+'Scenario_Library'!E23))*(1-(MAX(-0.5,MIN(0.9,IFERROR('Hist_Financials'!D8/'Hist_Financials'!D6,0)+'Scenario_Library'!F23/10000))))*(MAX(0,IFERROR('Hist_Financials'!D22/'Hist_Financials'!D7*365,0)+'Scenario_Library'!J23))/365,0))-'Hist_Financials'!D22 )+( (IFERROR(('Hist_Financials'!D6*(1+'Scenario_Library'!E23))*(1-(MAX(-0.5,MIN(0.9,IFERROR('Hist_Financials'!D8/'Hist_Financials'!D6,0)+'Scenario_Library'!F23/10000))))*(MAX(0,IFERROR('Hist_Financials'!D28/'Hist_Financials'!D7*365,0)+'Scenario_Library'!K23))/365,0))-'Hist_Financials'!D28 ))-('Hist_Financials'!D36*(1-'Scenario_Library'!P23))-('Hist_Financials'!D37*(1-'Scenario_Library'!Q23))-('Hist_Financials'!D38*(1-'Scenario_Library'!R23))-('Hist_Financials'!D27*(1-'Scenario_Library'!M23))-('Hist_Financials'!D30*'Scenario_Library'!N23*(1-'Scenario_Library'!O23)))) )/MAX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,0.01),99))</f>
        <v/>
      </c>
      <c r="M20" s="216">
        <f>IF('Hist_Financials'!D6=0,"",IFERROR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/MAX(((MAX(0,IFERROR('Hist_Financials'!D14/MAX('Hist_Financials'!D27+'Hist_Financials'!D30,1),0)+'Scenario_Library'!L23/10000))*('Hist_Financials'!D27+'Hist_Financials'!D30)),0.01),999))</f>
        <v/>
      </c>
      <c r="N20" s="212">
        <f>IF('Hist_Financials'!D6=0,"— NO DATA —",IF(OR((IFERROR(( (('Hist_Financials'!D27-('Hist_Financials'!D27*(1-'Scenario_Library'!M23)))+('Hist_Financials'!D30-('Hist_Financials'!D30*'Scenario_Library'!N23*(1-'Scenario_Library'!O23))))-(MAX(0,'Hist_Financials'!D20+((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-(MAX(0,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)*'Scenario_Library'!V23))+'Hist_Financials'!D12+('Hist_Financials'!D24*'Scenario_Library'!S23)+('Hist_Financials'!D25*'Scenario_Library'!T23)-( (('Hist_Financials'!D6*(1+'Scenario_Library'!E23))*(MAX(0,IFERROR('Hist_Financials'!D21/'Hist_Financials'!D6*365,0)+'Scenario_Library'!I23))/365)-'Hist_Financials'!D21 )-( (IFERROR(('Hist_Financials'!D6*(1+'Scenario_Library'!E23))*(1-(MAX(-0.5,MIN(0.9,IFERROR('Hist_Financials'!D8/'Hist_Financials'!D6,0)+'Scenario_Library'!F23/10000))))*(MAX(0,IFERROR('Hist_Financials'!D22/'Hist_Financials'!D7*365,0)+'Scenario_Library'!J23))/365,0))-'Hist_Financials'!D22 )+( (IFERROR(('Hist_Financials'!D6*(1+'Scenario_Library'!E23))*(1-(MAX(-0.5,MIN(0.9,IFERROR('Hist_Financials'!D8/'Hist_Financials'!D6,0)+'Scenario_Library'!F23/10000))))*(MAX(0,IFERROR('Hist_Financials'!D28/'Hist_Financials'!D7*365,0)+'Scenario_Library'!K23))/365,0))-'Hist_Financials'!D28 ))-('Hist_Financials'!D36*(1-'Scenario_Library'!P23))-('Hist_Financials'!D37*(1-'Scenario_Library'!Q23))-('Hist_Financials'!D38*(1-'Scenario_Library'!R23))-('Hist_Financials'!D27*(1-'Scenario_Library'!M23))-('Hist_Financials'!D30*'Scenario_Library'!N23*(1-'Scenario_Library'!O23)))) )/MAX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,0.01),99))&gt;'Scenario_Setup'!B13,(IFERROR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/MAX(((MAX(0,IFERROR('Hist_Financials'!D14/MAX('Hist_Financials'!D27+'Hist_Financials'!D30,1),0)+'Scenario_Library'!L23/10000))*('Hist_Financials'!D27+'Hist_Financials'!D30)),0.01),999))&lt;'Scenario_Setup'!B12,('Hist_Financials'!D32+(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-(MAX(0,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)*'Scenario_Library'!V23))-('Hist_Financials'!D37*(1-'Scenario_Library'!Q23))-('Hist_Financials'!D38*(1-'Scenario_Library'!R23)))&lt;0,(((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-(MAX(0,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)*'Scenario_Library'!V23))+'Hist_Financials'!D12+('Hist_Financials'!D24*'Scenario_Library'!S23)+('Hist_Financials'!D25*'Scenario_Library'!T23)-( (('Hist_Financials'!D6*(1+'Scenario_Library'!E23))*(MAX(0,IFERROR('Hist_Financials'!D21/'Hist_Financials'!D6*365,0)+'Scenario_Library'!I23))/365)-'Hist_Financials'!D21 )-( (IFERROR(('Hist_Financials'!D6*(1+'Scenario_Library'!E23))*(1-(MAX(-0.5,MIN(0.9,IFERROR('Hist_Financials'!D8/'Hist_Financials'!D6,0)+'Scenario_Library'!F23/10000))))*(MAX(0,IFERROR('Hist_Financials'!D22/'Hist_Financials'!D7*365,0)+'Scenario_Library'!J23))/365,0))-'Hist_Financials'!D22 )+( (IFERROR(('Hist_Financials'!D6*(1+'Scenario_Library'!E23))*(1-(MAX(-0.5,MIN(0.9,IFERROR('Hist_Financials'!D8/'Hist_Financials'!D6,0)+'Scenario_Library'!F23/10000))))*(MAX(0,IFERROR('Hist_Financials'!D28/'Hist_Financials'!D7*365,0)+'Scenario_Library'!K23))/365,0))-'Hist_Financials'!D28 ))-('Hist_Financials'!D36*(1-'Scenario_Library'!P23)))&lt;-0.2*'Hist_Financials'!D6),"CRITICAL",IF(AND((((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-(MAX(0,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)*'Scenario_Library'!V23))+'Hist_Financials'!D12+('Hist_Financials'!D24*'Scenario_Library'!S23)+('Hist_Financials'!D25*'Scenario_Library'!T23)-( (('Hist_Financials'!D6*(1+'Scenario_Library'!E23))*(MAX(0,IFERROR('Hist_Financials'!D21/'Hist_Financials'!D6*365,0)+'Scenario_Library'!I23))/365)-'Hist_Financials'!D21 )-( (IFERROR(('Hist_Financials'!D6*(1+'Scenario_Library'!E23))*(1-(MAX(-0.5,MIN(0.9,IFERROR('Hist_Financials'!D8/'Hist_Financials'!D6,0)+'Scenario_Library'!F23/10000))))*(MAX(0,IFERROR('Hist_Financials'!D22/'Hist_Financials'!D7*365,0)+'Scenario_Library'!J23))/365,0))-'Hist_Financials'!D22 )+( (IFERROR(('Hist_Financials'!D6*(1+'Scenario_Library'!E23))*(1-(MAX(-0.5,MIN(0.9,IFERROR('Hist_Financials'!D8/'Hist_Financials'!D6,0)+'Scenario_Library'!F23/10000))))*(MAX(0,IFERROR('Hist_Financials'!D28/'Hist_Financials'!D7*365,0)+'Scenario_Library'!K23))/365,0))-'Hist_Financials'!D28 ))-('Hist_Financials'!D36*(1-'Scenario_Library'!P23)))&gt;=0,(IFERROR(( (('Hist_Financials'!D27-('Hist_Financials'!D27*(1-'Scenario_Library'!M23)))+('Hist_Financials'!D30-('Hist_Financials'!D30*'Scenario_Library'!N23*(1-'Scenario_Library'!O23))))-(MAX(0,'Hist_Financials'!D20+((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-(MAX(0,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)*'Scenario_Library'!V23))+'Hist_Financials'!D12+('Hist_Financials'!D24*'Scenario_Library'!S23)+('Hist_Financials'!D25*'Scenario_Library'!T23)-( (('Hist_Financials'!D6*(1+'Scenario_Library'!E23))*(MAX(0,IFERROR('Hist_Financials'!D21/'Hist_Financials'!D6*365,0)+'Scenario_Library'!I23))/365)-'Hist_Financials'!D21 )-( (IFERROR(('Hist_Financials'!D6*(1+'Scenario_Library'!E23))*(1-(MAX(-0.5,MIN(0.9,IFERROR('Hist_Financials'!D8/'Hist_Financials'!D6,0)+'Scenario_Library'!F23/10000))))*(MAX(0,IFERROR('Hist_Financials'!D22/'Hist_Financials'!D7*365,0)+'Scenario_Library'!J23))/365,0))-'Hist_Financials'!D22 )+( (IFERROR(('Hist_Financials'!D6*(1+'Scenario_Library'!E23))*(1-(MAX(-0.5,MIN(0.9,IFERROR('Hist_Financials'!D8/'Hist_Financials'!D6,0)+'Scenario_Library'!F23/10000))))*(MAX(0,IFERROR('Hist_Financials'!D28/'Hist_Financials'!D7*365,0)+'Scenario_Library'!K23))/365,0))-'Hist_Financials'!D28 ))-('Hist_Financials'!D36*(1-'Scenario_Library'!P23))-('Hist_Financials'!D37*(1-'Scenario_Library'!Q23))-('Hist_Financials'!D38*(1-'Scenario_Library'!R23))-('Hist_Financials'!D27*(1-'Scenario_Library'!M23))-('Hist_Financials'!D30*'Scenario_Library'!N23*(1-'Scenario_Library'!O23)))) )/MAX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,0.01),99))&lt;3,(IFERROR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/MAX(((MAX(0,IFERROR('Hist_Financials'!D14/MAX('Hist_Financials'!D27+'Hist_Financials'!D30,1),0)+'Scenario_Library'!L23/10000))*('Hist_Financials'!D27+'Hist_Financials'!D30)),0.01),999))&gt;='Scenario_Setup'!B12,('Hist_Financials'!D32+(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-(MAX(0,((((('Hist_Financials'!D6*(1+'Scenario_Library'!E23))*(MAX(-0.5,MIN(0.9,IFERROR('Hist_Financials'!D8/'Hist_Financials'!D6,0)+'Scenario_Library'!F23/10000))))-(MAX(0,'Hist_Financials'!D9*(1+'Scenario_Setup'!B9*('Scenario_Library'!E23)+('Scenario_Library'!G23))))-(MAX(0,'Hist_Financials'!D10*(1+'Scenario_Library'!H23))))-'Hist_Financials'!D12)-((MAX(0,IFERROR('Hist_Financials'!D14/MAX('Hist_Financials'!D27+'Hist_Financials'!D30,1),0)+'Scenario_Library'!L23/10000))*('Hist_Financials'!D27+'Hist_Financials'!D30))-('Hist_Financials'!D24*'Scenario_Library'!S23)-('Hist_Financials'!D25*'Scenario_Library'!T23)-('Hist_Financials'!D6*'Scenario_Library'!U23)))*'Scenario_Library'!V23))-('Hist_Financials'!D37*(1-'Scenario_Library'!Q23))-('Hist_Financials'!D38*(1-'Scenario_Library'!R23)))&gt;0),"RESILIENT","WATCH")))</f>
        <v/>
      </c>
    </row>
    <row r="21" ht="17" customHeight="1" s="28">
      <c r="B21" s="230">
        <f>'Scenario_Library'!A24</f>
        <v/>
      </c>
      <c r="C21" s="232" t="inlineStr">
        <is>
          <t>Severe</t>
        </is>
      </c>
      <c r="D21" s="221">
        <f>'Hist_Financials'!D6*(1+'Scenario_Library'!E24)</f>
        <v/>
      </c>
      <c r="E21" s="219">
        <f>('Hist_Financials'!D6*(1+'Scenario_Library'!E24))-'Hist_Financials'!D6</f>
        <v/>
      </c>
      <c r="F21" s="220">
        <f>IFERROR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/('Hist_Financials'!D6*(1+'Scenario_Library'!E24)),0)</f>
        <v/>
      </c>
      <c r="G21" s="221">
        <f>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</f>
        <v/>
      </c>
      <c r="H21" s="219">
        <f>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11</f>
        <v/>
      </c>
      <c r="I21" s="221">
        <f>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-(MAX(0,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)*'Scenario_Library'!V24)</f>
        <v/>
      </c>
      <c r="J21" s="221">
        <f>((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-(MAX(0,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)*'Scenario_Library'!V24))+'Hist_Financials'!D12+('Hist_Financials'!D24*'Scenario_Library'!S24)+('Hist_Financials'!D25*'Scenario_Library'!T24)-( (('Hist_Financials'!D6*(1+'Scenario_Library'!E24))*(MAX(0,IFERROR('Hist_Financials'!D21/'Hist_Financials'!D6*365,0)+'Scenario_Library'!I24))/365)-'Hist_Financials'!D21 )-( (IFERROR(('Hist_Financials'!D6*(1+'Scenario_Library'!E24))*(1-(MAX(-0.5,MIN(0.9,IFERROR('Hist_Financials'!D8/'Hist_Financials'!D6,0)+'Scenario_Library'!F24/10000))))*(MAX(0,IFERROR('Hist_Financials'!D22/'Hist_Financials'!D7*365,0)+'Scenario_Library'!J24))/365,0))-'Hist_Financials'!D22 )+( (IFERROR(('Hist_Financials'!D6*(1+'Scenario_Library'!E24))*(1-(MAX(-0.5,MIN(0.9,IFERROR('Hist_Financials'!D8/'Hist_Financials'!D6,0)+'Scenario_Library'!F24/10000))))*(MAX(0,IFERROR('Hist_Financials'!D28/'Hist_Financials'!D7*365,0)+'Scenario_Library'!K24))/365,0))-'Hist_Financials'!D28 ))-('Hist_Financials'!D36*(1-'Scenario_Library'!P24))</f>
        <v/>
      </c>
      <c r="K21" s="221">
        <f>MAX(0,'Hist_Financials'!D20+((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-(MAX(0,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)*'Scenario_Library'!V24))+'Hist_Financials'!D12+('Hist_Financials'!D24*'Scenario_Library'!S24)+('Hist_Financials'!D25*'Scenario_Library'!T24)-( (('Hist_Financials'!D6*(1+'Scenario_Library'!E24))*(MAX(0,IFERROR('Hist_Financials'!D21/'Hist_Financials'!D6*365,0)+'Scenario_Library'!I24))/365)-'Hist_Financials'!D21 )-( (IFERROR(('Hist_Financials'!D6*(1+'Scenario_Library'!E24))*(1-(MAX(-0.5,MIN(0.9,IFERROR('Hist_Financials'!D8/'Hist_Financials'!D6,0)+'Scenario_Library'!F24/10000))))*(MAX(0,IFERROR('Hist_Financials'!D22/'Hist_Financials'!D7*365,0)+'Scenario_Library'!J24))/365,0))-'Hist_Financials'!D22 )+( (IFERROR(('Hist_Financials'!D6*(1+'Scenario_Library'!E24))*(1-(MAX(-0.5,MIN(0.9,IFERROR('Hist_Financials'!D8/'Hist_Financials'!D6,0)+'Scenario_Library'!F24/10000))))*(MAX(0,IFERROR('Hist_Financials'!D28/'Hist_Financials'!D7*365,0)+'Scenario_Library'!K24))/365,0))-'Hist_Financials'!D28 ))-('Hist_Financials'!D36*(1-'Scenario_Library'!P24))-('Hist_Financials'!D37*(1-'Scenario_Library'!Q24))-('Hist_Financials'!D38*(1-'Scenario_Library'!R24))-('Hist_Financials'!D27*(1-'Scenario_Library'!M24))-('Hist_Financials'!D30*'Scenario_Library'!N24*(1-'Scenario_Library'!O24)))</f>
        <v/>
      </c>
      <c r="L21" s="222">
        <f>IF('Hist_Financials'!D6=0,"",IFERROR(( (('Hist_Financials'!D27-('Hist_Financials'!D27*(1-'Scenario_Library'!M24)))+('Hist_Financials'!D30-('Hist_Financials'!D30*'Scenario_Library'!N24*(1-'Scenario_Library'!O24))))-(MAX(0,'Hist_Financials'!D20+((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-(MAX(0,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)*'Scenario_Library'!V24))+'Hist_Financials'!D12+('Hist_Financials'!D24*'Scenario_Library'!S24)+('Hist_Financials'!D25*'Scenario_Library'!T24)-( (('Hist_Financials'!D6*(1+'Scenario_Library'!E24))*(MAX(0,IFERROR('Hist_Financials'!D21/'Hist_Financials'!D6*365,0)+'Scenario_Library'!I24))/365)-'Hist_Financials'!D21 )-( (IFERROR(('Hist_Financials'!D6*(1+'Scenario_Library'!E24))*(1-(MAX(-0.5,MIN(0.9,IFERROR('Hist_Financials'!D8/'Hist_Financials'!D6,0)+'Scenario_Library'!F24/10000))))*(MAX(0,IFERROR('Hist_Financials'!D22/'Hist_Financials'!D7*365,0)+'Scenario_Library'!J24))/365,0))-'Hist_Financials'!D22 )+( (IFERROR(('Hist_Financials'!D6*(1+'Scenario_Library'!E24))*(1-(MAX(-0.5,MIN(0.9,IFERROR('Hist_Financials'!D8/'Hist_Financials'!D6,0)+'Scenario_Library'!F24/10000))))*(MAX(0,IFERROR('Hist_Financials'!D28/'Hist_Financials'!D7*365,0)+'Scenario_Library'!K24))/365,0))-'Hist_Financials'!D28 ))-('Hist_Financials'!D36*(1-'Scenario_Library'!P24))-('Hist_Financials'!D37*(1-'Scenario_Library'!Q24))-('Hist_Financials'!D38*(1-'Scenario_Library'!R24))-('Hist_Financials'!D27*(1-'Scenario_Library'!M24))-('Hist_Financials'!D30*'Scenario_Library'!N24*(1-'Scenario_Library'!O24)))) )/MAX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,0.01),99))</f>
        <v/>
      </c>
      <c r="M21" s="222">
        <f>IF('Hist_Financials'!D6=0,"",IFERROR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/MAX(((MAX(0,IFERROR('Hist_Financials'!D14/MAX('Hist_Financials'!D27+'Hist_Financials'!D30,1),0)+'Scenario_Library'!L24/10000))*('Hist_Financials'!D27+'Hist_Financials'!D30)),0.01),999))</f>
        <v/>
      </c>
      <c r="N21" s="218">
        <f>IF('Hist_Financials'!D6=0,"— NO DATA —",IF(OR((IFERROR(( (('Hist_Financials'!D27-('Hist_Financials'!D27*(1-'Scenario_Library'!M24)))+('Hist_Financials'!D30-('Hist_Financials'!D30*'Scenario_Library'!N24*(1-'Scenario_Library'!O24))))-(MAX(0,'Hist_Financials'!D20+((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-(MAX(0,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)*'Scenario_Library'!V24))+'Hist_Financials'!D12+('Hist_Financials'!D24*'Scenario_Library'!S24)+('Hist_Financials'!D25*'Scenario_Library'!T24)-( (('Hist_Financials'!D6*(1+'Scenario_Library'!E24))*(MAX(0,IFERROR('Hist_Financials'!D21/'Hist_Financials'!D6*365,0)+'Scenario_Library'!I24))/365)-'Hist_Financials'!D21 )-( (IFERROR(('Hist_Financials'!D6*(1+'Scenario_Library'!E24))*(1-(MAX(-0.5,MIN(0.9,IFERROR('Hist_Financials'!D8/'Hist_Financials'!D6,0)+'Scenario_Library'!F24/10000))))*(MAX(0,IFERROR('Hist_Financials'!D22/'Hist_Financials'!D7*365,0)+'Scenario_Library'!J24))/365,0))-'Hist_Financials'!D22 )+( (IFERROR(('Hist_Financials'!D6*(1+'Scenario_Library'!E24))*(1-(MAX(-0.5,MIN(0.9,IFERROR('Hist_Financials'!D8/'Hist_Financials'!D6,0)+'Scenario_Library'!F24/10000))))*(MAX(0,IFERROR('Hist_Financials'!D28/'Hist_Financials'!D7*365,0)+'Scenario_Library'!K24))/365,0))-'Hist_Financials'!D28 ))-('Hist_Financials'!D36*(1-'Scenario_Library'!P24))-('Hist_Financials'!D37*(1-'Scenario_Library'!Q24))-('Hist_Financials'!D38*(1-'Scenario_Library'!R24))-('Hist_Financials'!D27*(1-'Scenario_Library'!M24))-('Hist_Financials'!D30*'Scenario_Library'!N24*(1-'Scenario_Library'!O24)))) )/MAX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,0.01),99))&gt;'Scenario_Setup'!B13,(IFERROR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/MAX(((MAX(0,IFERROR('Hist_Financials'!D14/MAX('Hist_Financials'!D27+'Hist_Financials'!D30,1),0)+'Scenario_Library'!L24/10000))*('Hist_Financials'!D27+'Hist_Financials'!D30)),0.01),999))&lt;'Scenario_Setup'!B12,('Hist_Financials'!D32+(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-(MAX(0,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)*'Scenario_Library'!V24))-('Hist_Financials'!D37*(1-'Scenario_Library'!Q24))-('Hist_Financials'!D38*(1-'Scenario_Library'!R24)))&lt;0,(((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-(MAX(0,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)*'Scenario_Library'!V24))+'Hist_Financials'!D12+('Hist_Financials'!D24*'Scenario_Library'!S24)+('Hist_Financials'!D25*'Scenario_Library'!T24)-( (('Hist_Financials'!D6*(1+'Scenario_Library'!E24))*(MAX(0,IFERROR('Hist_Financials'!D21/'Hist_Financials'!D6*365,0)+'Scenario_Library'!I24))/365)-'Hist_Financials'!D21 )-( (IFERROR(('Hist_Financials'!D6*(1+'Scenario_Library'!E24))*(1-(MAX(-0.5,MIN(0.9,IFERROR('Hist_Financials'!D8/'Hist_Financials'!D6,0)+'Scenario_Library'!F24/10000))))*(MAX(0,IFERROR('Hist_Financials'!D22/'Hist_Financials'!D7*365,0)+'Scenario_Library'!J24))/365,0))-'Hist_Financials'!D22 )+( (IFERROR(('Hist_Financials'!D6*(1+'Scenario_Library'!E24))*(1-(MAX(-0.5,MIN(0.9,IFERROR('Hist_Financials'!D8/'Hist_Financials'!D6,0)+'Scenario_Library'!F24/10000))))*(MAX(0,IFERROR('Hist_Financials'!D28/'Hist_Financials'!D7*365,0)+'Scenario_Library'!K24))/365,0))-'Hist_Financials'!D28 ))-('Hist_Financials'!D36*(1-'Scenario_Library'!P24)))&lt;-0.2*'Hist_Financials'!D6),"CRITICAL",IF(AND((((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-(MAX(0,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)*'Scenario_Library'!V24))+'Hist_Financials'!D12+('Hist_Financials'!D24*'Scenario_Library'!S24)+('Hist_Financials'!D25*'Scenario_Library'!T24)-( (('Hist_Financials'!D6*(1+'Scenario_Library'!E24))*(MAX(0,IFERROR('Hist_Financials'!D21/'Hist_Financials'!D6*365,0)+'Scenario_Library'!I24))/365)-'Hist_Financials'!D21 )-( (IFERROR(('Hist_Financials'!D6*(1+'Scenario_Library'!E24))*(1-(MAX(-0.5,MIN(0.9,IFERROR('Hist_Financials'!D8/'Hist_Financials'!D6,0)+'Scenario_Library'!F24/10000))))*(MAX(0,IFERROR('Hist_Financials'!D22/'Hist_Financials'!D7*365,0)+'Scenario_Library'!J24))/365,0))-'Hist_Financials'!D22 )+( (IFERROR(('Hist_Financials'!D6*(1+'Scenario_Library'!E24))*(1-(MAX(-0.5,MIN(0.9,IFERROR('Hist_Financials'!D8/'Hist_Financials'!D6,0)+'Scenario_Library'!F24/10000))))*(MAX(0,IFERROR('Hist_Financials'!D28/'Hist_Financials'!D7*365,0)+'Scenario_Library'!K24))/365,0))-'Hist_Financials'!D28 ))-('Hist_Financials'!D36*(1-'Scenario_Library'!P24)))&gt;=0,(IFERROR(( (('Hist_Financials'!D27-('Hist_Financials'!D27*(1-'Scenario_Library'!M24)))+('Hist_Financials'!D30-('Hist_Financials'!D30*'Scenario_Library'!N24*(1-'Scenario_Library'!O24))))-(MAX(0,'Hist_Financials'!D20+((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-(MAX(0,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)*'Scenario_Library'!V24))+'Hist_Financials'!D12+('Hist_Financials'!D24*'Scenario_Library'!S24)+('Hist_Financials'!D25*'Scenario_Library'!T24)-( (('Hist_Financials'!D6*(1+'Scenario_Library'!E24))*(MAX(0,IFERROR('Hist_Financials'!D21/'Hist_Financials'!D6*365,0)+'Scenario_Library'!I24))/365)-'Hist_Financials'!D21 )-( (IFERROR(('Hist_Financials'!D6*(1+'Scenario_Library'!E24))*(1-(MAX(-0.5,MIN(0.9,IFERROR('Hist_Financials'!D8/'Hist_Financials'!D6,0)+'Scenario_Library'!F24/10000))))*(MAX(0,IFERROR('Hist_Financials'!D22/'Hist_Financials'!D7*365,0)+'Scenario_Library'!J24))/365,0))-'Hist_Financials'!D22 )+( (IFERROR(('Hist_Financials'!D6*(1+'Scenario_Library'!E24))*(1-(MAX(-0.5,MIN(0.9,IFERROR('Hist_Financials'!D8/'Hist_Financials'!D6,0)+'Scenario_Library'!F24/10000))))*(MAX(0,IFERROR('Hist_Financials'!D28/'Hist_Financials'!D7*365,0)+'Scenario_Library'!K24))/365,0))-'Hist_Financials'!D28 ))-('Hist_Financials'!D36*(1-'Scenario_Library'!P24))-('Hist_Financials'!D37*(1-'Scenario_Library'!Q24))-('Hist_Financials'!D38*(1-'Scenario_Library'!R24))-('Hist_Financials'!D27*(1-'Scenario_Library'!M24))-('Hist_Financials'!D30*'Scenario_Library'!N24*(1-'Scenario_Library'!O24)))) )/MAX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,0.01),99))&lt;3,(IFERROR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/MAX(((MAX(0,IFERROR('Hist_Financials'!D14/MAX('Hist_Financials'!D27+'Hist_Financials'!D30,1),0)+'Scenario_Library'!L24/10000))*('Hist_Financials'!D27+'Hist_Financials'!D30)),0.01),999))&gt;='Scenario_Setup'!B12,('Hist_Financials'!D32+(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-(MAX(0,((((('Hist_Financials'!D6*(1+'Scenario_Library'!E24))*(MAX(-0.5,MIN(0.9,IFERROR('Hist_Financials'!D8/'Hist_Financials'!D6,0)+'Scenario_Library'!F24/10000))))-(MAX(0,'Hist_Financials'!D9*(1+'Scenario_Setup'!B9*('Scenario_Library'!E24)+('Scenario_Library'!G24))))-(MAX(0,'Hist_Financials'!D10*(1+'Scenario_Library'!H24))))-'Hist_Financials'!D12)-((MAX(0,IFERROR('Hist_Financials'!D14/MAX('Hist_Financials'!D27+'Hist_Financials'!D30,1),0)+'Scenario_Library'!L24/10000))*('Hist_Financials'!D27+'Hist_Financials'!D30))-('Hist_Financials'!D24*'Scenario_Library'!S24)-('Hist_Financials'!D25*'Scenario_Library'!T24)-('Hist_Financials'!D6*'Scenario_Library'!U24)))*'Scenario_Library'!V24))-('Hist_Financials'!D37*(1-'Scenario_Library'!Q24))-('Hist_Financials'!D38*(1-'Scenario_Library'!R24)))&gt;0),"RESILIENT","WATCH")))</f>
        <v/>
      </c>
    </row>
    <row r="22" ht="17" customHeight="1" s="28">
      <c r="B22" s="223">
        <f>'Scenario_Library'!A25</f>
        <v/>
      </c>
      <c r="C22" s="224" t="inlineStr">
        <is>
          <t>Light</t>
        </is>
      </c>
      <c r="D22" s="225">
        <f>'Hist_Financials'!D6*(1+'Scenario_Library'!E25)</f>
        <v/>
      </c>
      <c r="E22" s="226">
        <f>('Hist_Financials'!D6*(1+'Scenario_Library'!E25))-'Hist_Financials'!D6</f>
        <v/>
      </c>
      <c r="F22" s="227">
        <f>IFERROR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/('Hist_Financials'!D6*(1+'Scenario_Library'!E25)),0)</f>
        <v/>
      </c>
      <c r="G22" s="225">
        <f>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</f>
        <v/>
      </c>
      <c r="H22" s="226">
        <f>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11</f>
        <v/>
      </c>
      <c r="I22" s="225">
        <f>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-(MAX(0,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)*'Scenario_Library'!V25)</f>
        <v/>
      </c>
      <c r="J22" s="225">
        <f>((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-(MAX(0,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)*'Scenario_Library'!V25))+'Hist_Financials'!D12+('Hist_Financials'!D24*'Scenario_Library'!S25)+('Hist_Financials'!D25*'Scenario_Library'!T25)-( (('Hist_Financials'!D6*(1+'Scenario_Library'!E25))*(MAX(0,IFERROR('Hist_Financials'!D21/'Hist_Financials'!D6*365,0)+'Scenario_Library'!I25))/365)-'Hist_Financials'!D21 )-( (IFERROR(('Hist_Financials'!D6*(1+'Scenario_Library'!E25))*(1-(MAX(-0.5,MIN(0.9,IFERROR('Hist_Financials'!D8/'Hist_Financials'!D6,0)+'Scenario_Library'!F25/10000))))*(MAX(0,IFERROR('Hist_Financials'!D22/'Hist_Financials'!D7*365,0)+'Scenario_Library'!J25))/365,0))-'Hist_Financials'!D22 )+( (IFERROR(('Hist_Financials'!D6*(1+'Scenario_Library'!E25))*(1-(MAX(-0.5,MIN(0.9,IFERROR('Hist_Financials'!D8/'Hist_Financials'!D6,0)+'Scenario_Library'!F25/10000))))*(MAX(0,IFERROR('Hist_Financials'!D28/'Hist_Financials'!D7*365,0)+'Scenario_Library'!K25))/365,0))-'Hist_Financials'!D28 ))-('Hist_Financials'!D36*(1-'Scenario_Library'!P25))</f>
        <v/>
      </c>
      <c r="K22" s="225">
        <f>MAX(0,'Hist_Financials'!D20+((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-(MAX(0,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)*'Scenario_Library'!V25))+'Hist_Financials'!D12+('Hist_Financials'!D24*'Scenario_Library'!S25)+('Hist_Financials'!D25*'Scenario_Library'!T25)-( (('Hist_Financials'!D6*(1+'Scenario_Library'!E25))*(MAX(0,IFERROR('Hist_Financials'!D21/'Hist_Financials'!D6*365,0)+'Scenario_Library'!I25))/365)-'Hist_Financials'!D21 )-( (IFERROR(('Hist_Financials'!D6*(1+'Scenario_Library'!E25))*(1-(MAX(-0.5,MIN(0.9,IFERROR('Hist_Financials'!D8/'Hist_Financials'!D6,0)+'Scenario_Library'!F25/10000))))*(MAX(0,IFERROR('Hist_Financials'!D22/'Hist_Financials'!D7*365,0)+'Scenario_Library'!J25))/365,0))-'Hist_Financials'!D22 )+( (IFERROR(('Hist_Financials'!D6*(1+'Scenario_Library'!E25))*(1-(MAX(-0.5,MIN(0.9,IFERROR('Hist_Financials'!D8/'Hist_Financials'!D6,0)+'Scenario_Library'!F25/10000))))*(MAX(0,IFERROR('Hist_Financials'!D28/'Hist_Financials'!D7*365,0)+'Scenario_Library'!K25))/365,0))-'Hist_Financials'!D28 ))-('Hist_Financials'!D36*(1-'Scenario_Library'!P25))-('Hist_Financials'!D37*(1-'Scenario_Library'!Q25))-('Hist_Financials'!D38*(1-'Scenario_Library'!R25))-('Hist_Financials'!D27*(1-'Scenario_Library'!M25))-('Hist_Financials'!D30*'Scenario_Library'!N25*(1-'Scenario_Library'!O25)))</f>
        <v/>
      </c>
      <c r="L22" s="228">
        <f>IF('Hist_Financials'!D6=0,"",IFERROR(( (('Hist_Financials'!D27-('Hist_Financials'!D27*(1-'Scenario_Library'!M25)))+('Hist_Financials'!D30-('Hist_Financials'!D30*'Scenario_Library'!N25*(1-'Scenario_Library'!O25))))-(MAX(0,'Hist_Financials'!D20+((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-(MAX(0,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)*'Scenario_Library'!V25))+'Hist_Financials'!D12+('Hist_Financials'!D24*'Scenario_Library'!S25)+('Hist_Financials'!D25*'Scenario_Library'!T25)-( (('Hist_Financials'!D6*(1+'Scenario_Library'!E25))*(MAX(0,IFERROR('Hist_Financials'!D21/'Hist_Financials'!D6*365,0)+'Scenario_Library'!I25))/365)-'Hist_Financials'!D21 )-( (IFERROR(('Hist_Financials'!D6*(1+'Scenario_Library'!E25))*(1-(MAX(-0.5,MIN(0.9,IFERROR('Hist_Financials'!D8/'Hist_Financials'!D6,0)+'Scenario_Library'!F25/10000))))*(MAX(0,IFERROR('Hist_Financials'!D22/'Hist_Financials'!D7*365,0)+'Scenario_Library'!J25))/365,0))-'Hist_Financials'!D22 )+( (IFERROR(('Hist_Financials'!D6*(1+'Scenario_Library'!E25))*(1-(MAX(-0.5,MIN(0.9,IFERROR('Hist_Financials'!D8/'Hist_Financials'!D6,0)+'Scenario_Library'!F25/10000))))*(MAX(0,IFERROR('Hist_Financials'!D28/'Hist_Financials'!D7*365,0)+'Scenario_Library'!K25))/365,0))-'Hist_Financials'!D28 ))-('Hist_Financials'!D36*(1-'Scenario_Library'!P25))-('Hist_Financials'!D37*(1-'Scenario_Library'!Q25))-('Hist_Financials'!D38*(1-'Scenario_Library'!R25))-('Hist_Financials'!D27*(1-'Scenario_Library'!M25))-('Hist_Financials'!D30*'Scenario_Library'!N25*(1-'Scenario_Library'!O25)))) )/MAX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,0.01),99))</f>
        <v/>
      </c>
      <c r="M22" s="228">
        <f>IF('Hist_Financials'!D6=0,"",IFERROR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/MAX(((MAX(0,IFERROR('Hist_Financials'!D14/MAX('Hist_Financials'!D27+'Hist_Financials'!D30,1),0)+'Scenario_Library'!L25/10000))*('Hist_Financials'!D27+'Hist_Financials'!D30)),0.01),999))</f>
        <v/>
      </c>
      <c r="N22" s="229">
        <f>IF('Hist_Financials'!D6=0,"— NO DATA —",IF(OR((IFERROR(( (('Hist_Financials'!D27-('Hist_Financials'!D27*(1-'Scenario_Library'!M25)))+('Hist_Financials'!D30-('Hist_Financials'!D30*'Scenario_Library'!N25*(1-'Scenario_Library'!O25))))-(MAX(0,'Hist_Financials'!D20+((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-(MAX(0,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)*'Scenario_Library'!V25))+'Hist_Financials'!D12+('Hist_Financials'!D24*'Scenario_Library'!S25)+('Hist_Financials'!D25*'Scenario_Library'!T25)-( (('Hist_Financials'!D6*(1+'Scenario_Library'!E25))*(MAX(0,IFERROR('Hist_Financials'!D21/'Hist_Financials'!D6*365,0)+'Scenario_Library'!I25))/365)-'Hist_Financials'!D21 )-( (IFERROR(('Hist_Financials'!D6*(1+'Scenario_Library'!E25))*(1-(MAX(-0.5,MIN(0.9,IFERROR('Hist_Financials'!D8/'Hist_Financials'!D6,0)+'Scenario_Library'!F25/10000))))*(MAX(0,IFERROR('Hist_Financials'!D22/'Hist_Financials'!D7*365,0)+'Scenario_Library'!J25))/365,0))-'Hist_Financials'!D22 )+( (IFERROR(('Hist_Financials'!D6*(1+'Scenario_Library'!E25))*(1-(MAX(-0.5,MIN(0.9,IFERROR('Hist_Financials'!D8/'Hist_Financials'!D6,0)+'Scenario_Library'!F25/10000))))*(MAX(0,IFERROR('Hist_Financials'!D28/'Hist_Financials'!D7*365,0)+'Scenario_Library'!K25))/365,0))-'Hist_Financials'!D28 ))-('Hist_Financials'!D36*(1-'Scenario_Library'!P25))-('Hist_Financials'!D37*(1-'Scenario_Library'!Q25))-('Hist_Financials'!D38*(1-'Scenario_Library'!R25))-('Hist_Financials'!D27*(1-'Scenario_Library'!M25))-('Hist_Financials'!D30*'Scenario_Library'!N25*(1-'Scenario_Library'!O25)))) )/MAX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,0.01),99))&gt;'Scenario_Setup'!B13,(IFERROR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/MAX(((MAX(0,IFERROR('Hist_Financials'!D14/MAX('Hist_Financials'!D27+'Hist_Financials'!D30,1),0)+'Scenario_Library'!L25/10000))*('Hist_Financials'!D27+'Hist_Financials'!D30)),0.01),999))&lt;'Scenario_Setup'!B12,('Hist_Financials'!D32+(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-(MAX(0,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)*'Scenario_Library'!V25))-('Hist_Financials'!D37*(1-'Scenario_Library'!Q25))-('Hist_Financials'!D38*(1-'Scenario_Library'!R25)))&lt;0,(((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-(MAX(0,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)*'Scenario_Library'!V25))+'Hist_Financials'!D12+('Hist_Financials'!D24*'Scenario_Library'!S25)+('Hist_Financials'!D25*'Scenario_Library'!T25)-( (('Hist_Financials'!D6*(1+'Scenario_Library'!E25))*(MAX(0,IFERROR('Hist_Financials'!D21/'Hist_Financials'!D6*365,0)+'Scenario_Library'!I25))/365)-'Hist_Financials'!D21 )-( (IFERROR(('Hist_Financials'!D6*(1+'Scenario_Library'!E25))*(1-(MAX(-0.5,MIN(0.9,IFERROR('Hist_Financials'!D8/'Hist_Financials'!D6,0)+'Scenario_Library'!F25/10000))))*(MAX(0,IFERROR('Hist_Financials'!D22/'Hist_Financials'!D7*365,0)+'Scenario_Library'!J25))/365,0))-'Hist_Financials'!D22 )+( (IFERROR(('Hist_Financials'!D6*(1+'Scenario_Library'!E25))*(1-(MAX(-0.5,MIN(0.9,IFERROR('Hist_Financials'!D8/'Hist_Financials'!D6,0)+'Scenario_Library'!F25/10000))))*(MAX(0,IFERROR('Hist_Financials'!D28/'Hist_Financials'!D7*365,0)+'Scenario_Library'!K25))/365,0))-'Hist_Financials'!D28 ))-('Hist_Financials'!D36*(1-'Scenario_Library'!P25)))&lt;-0.2*'Hist_Financials'!D6),"CRITICAL",IF(AND((((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-(MAX(0,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)*'Scenario_Library'!V25))+'Hist_Financials'!D12+('Hist_Financials'!D24*'Scenario_Library'!S25)+('Hist_Financials'!D25*'Scenario_Library'!T25)-( (('Hist_Financials'!D6*(1+'Scenario_Library'!E25))*(MAX(0,IFERROR('Hist_Financials'!D21/'Hist_Financials'!D6*365,0)+'Scenario_Library'!I25))/365)-'Hist_Financials'!D21 )-( (IFERROR(('Hist_Financials'!D6*(1+'Scenario_Library'!E25))*(1-(MAX(-0.5,MIN(0.9,IFERROR('Hist_Financials'!D8/'Hist_Financials'!D6,0)+'Scenario_Library'!F25/10000))))*(MAX(0,IFERROR('Hist_Financials'!D22/'Hist_Financials'!D7*365,0)+'Scenario_Library'!J25))/365,0))-'Hist_Financials'!D22 )+( (IFERROR(('Hist_Financials'!D6*(1+'Scenario_Library'!E25))*(1-(MAX(-0.5,MIN(0.9,IFERROR('Hist_Financials'!D8/'Hist_Financials'!D6,0)+'Scenario_Library'!F25/10000))))*(MAX(0,IFERROR('Hist_Financials'!D28/'Hist_Financials'!D7*365,0)+'Scenario_Library'!K25))/365,0))-'Hist_Financials'!D28 ))-('Hist_Financials'!D36*(1-'Scenario_Library'!P25)))&gt;=0,(IFERROR(( (('Hist_Financials'!D27-('Hist_Financials'!D27*(1-'Scenario_Library'!M25)))+('Hist_Financials'!D30-('Hist_Financials'!D30*'Scenario_Library'!N25*(1-'Scenario_Library'!O25))))-(MAX(0,'Hist_Financials'!D20+((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-(MAX(0,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)*'Scenario_Library'!V25))+'Hist_Financials'!D12+('Hist_Financials'!D24*'Scenario_Library'!S25)+('Hist_Financials'!D25*'Scenario_Library'!T25)-( (('Hist_Financials'!D6*(1+'Scenario_Library'!E25))*(MAX(0,IFERROR('Hist_Financials'!D21/'Hist_Financials'!D6*365,0)+'Scenario_Library'!I25))/365)-'Hist_Financials'!D21 )-( (IFERROR(('Hist_Financials'!D6*(1+'Scenario_Library'!E25))*(1-(MAX(-0.5,MIN(0.9,IFERROR('Hist_Financials'!D8/'Hist_Financials'!D6,0)+'Scenario_Library'!F25/10000))))*(MAX(0,IFERROR('Hist_Financials'!D22/'Hist_Financials'!D7*365,0)+'Scenario_Library'!J25))/365,0))-'Hist_Financials'!D22 )+( (IFERROR(('Hist_Financials'!D6*(1+'Scenario_Library'!E25))*(1-(MAX(-0.5,MIN(0.9,IFERROR('Hist_Financials'!D8/'Hist_Financials'!D6,0)+'Scenario_Library'!F25/10000))))*(MAX(0,IFERROR('Hist_Financials'!D28/'Hist_Financials'!D7*365,0)+'Scenario_Library'!K25))/365,0))-'Hist_Financials'!D28 ))-('Hist_Financials'!D36*(1-'Scenario_Library'!P25))-('Hist_Financials'!D37*(1-'Scenario_Library'!Q25))-('Hist_Financials'!D38*(1-'Scenario_Library'!R25))-('Hist_Financials'!D27*(1-'Scenario_Library'!M25))-('Hist_Financials'!D30*'Scenario_Library'!N25*(1-'Scenario_Library'!O25)))) )/MAX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,0.01),99))&lt;3,(IFERROR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/MAX(((MAX(0,IFERROR('Hist_Financials'!D14/MAX('Hist_Financials'!D27+'Hist_Financials'!D30,1),0)+'Scenario_Library'!L25/10000))*('Hist_Financials'!D27+'Hist_Financials'!D30)),0.01),999))&gt;='Scenario_Setup'!B12,('Hist_Financials'!D32+(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-(MAX(0,((((('Hist_Financials'!D6*(1+'Scenario_Library'!E25))*(MAX(-0.5,MIN(0.9,IFERROR('Hist_Financials'!D8/'Hist_Financials'!D6,0)+'Scenario_Library'!F25/10000))))-(MAX(0,'Hist_Financials'!D9*(1+'Scenario_Setup'!B9*('Scenario_Library'!E25)+('Scenario_Library'!G25))))-(MAX(0,'Hist_Financials'!D10*(1+'Scenario_Library'!H25))))-'Hist_Financials'!D12)-((MAX(0,IFERROR('Hist_Financials'!D14/MAX('Hist_Financials'!D27+'Hist_Financials'!D30,1),0)+'Scenario_Library'!L25/10000))*('Hist_Financials'!D27+'Hist_Financials'!D30))-('Hist_Financials'!D24*'Scenario_Library'!S25)-('Hist_Financials'!D25*'Scenario_Library'!T25)-('Hist_Financials'!D6*'Scenario_Library'!U25)))*'Scenario_Library'!V25))-('Hist_Financials'!D37*(1-'Scenario_Library'!Q25))-('Hist_Financials'!D38*(1-'Scenario_Library'!R25)))&gt;0),"RESILIENT","WATCH")))</f>
        <v/>
      </c>
    </row>
    <row r="23" ht="17" customHeight="1" s="28">
      <c r="B23" s="230">
        <f>'Scenario_Library'!A26</f>
        <v/>
      </c>
      <c r="C23" s="231" t="inlineStr">
        <is>
          <t>Base</t>
        </is>
      </c>
      <c r="D23" s="215">
        <f>'Hist_Financials'!D6*(1+'Scenario_Library'!E26)</f>
        <v/>
      </c>
      <c r="E23" s="213">
        <f>('Hist_Financials'!D6*(1+'Scenario_Library'!E26))-'Hist_Financials'!D6</f>
        <v/>
      </c>
      <c r="F23" s="214">
        <f>IFERROR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/('Hist_Financials'!D6*(1+'Scenario_Library'!E26)),0)</f>
        <v/>
      </c>
      <c r="G23" s="215">
        <f>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</f>
        <v/>
      </c>
      <c r="H23" s="213">
        <f>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11</f>
        <v/>
      </c>
      <c r="I23" s="215">
        <f>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-(MAX(0,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)*'Scenario_Library'!V26)</f>
        <v/>
      </c>
      <c r="J23" s="215">
        <f>((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-(MAX(0,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)*'Scenario_Library'!V26))+'Hist_Financials'!D12+('Hist_Financials'!D24*'Scenario_Library'!S26)+('Hist_Financials'!D25*'Scenario_Library'!T26)-( (('Hist_Financials'!D6*(1+'Scenario_Library'!E26))*(MAX(0,IFERROR('Hist_Financials'!D21/'Hist_Financials'!D6*365,0)+'Scenario_Library'!I26))/365)-'Hist_Financials'!D21 )-( (IFERROR(('Hist_Financials'!D6*(1+'Scenario_Library'!E26))*(1-(MAX(-0.5,MIN(0.9,IFERROR('Hist_Financials'!D8/'Hist_Financials'!D6,0)+'Scenario_Library'!F26/10000))))*(MAX(0,IFERROR('Hist_Financials'!D22/'Hist_Financials'!D7*365,0)+'Scenario_Library'!J26))/365,0))-'Hist_Financials'!D22 )+( (IFERROR(('Hist_Financials'!D6*(1+'Scenario_Library'!E26))*(1-(MAX(-0.5,MIN(0.9,IFERROR('Hist_Financials'!D8/'Hist_Financials'!D6,0)+'Scenario_Library'!F26/10000))))*(MAX(0,IFERROR('Hist_Financials'!D28/'Hist_Financials'!D7*365,0)+'Scenario_Library'!K26))/365,0))-'Hist_Financials'!D28 ))-('Hist_Financials'!D36*(1-'Scenario_Library'!P26))</f>
        <v/>
      </c>
      <c r="K23" s="215">
        <f>MAX(0,'Hist_Financials'!D20+((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-(MAX(0,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)*'Scenario_Library'!V26))+'Hist_Financials'!D12+('Hist_Financials'!D24*'Scenario_Library'!S26)+('Hist_Financials'!D25*'Scenario_Library'!T26)-( (('Hist_Financials'!D6*(1+'Scenario_Library'!E26))*(MAX(0,IFERROR('Hist_Financials'!D21/'Hist_Financials'!D6*365,0)+'Scenario_Library'!I26))/365)-'Hist_Financials'!D21 )-( (IFERROR(('Hist_Financials'!D6*(1+'Scenario_Library'!E26))*(1-(MAX(-0.5,MIN(0.9,IFERROR('Hist_Financials'!D8/'Hist_Financials'!D6,0)+'Scenario_Library'!F26/10000))))*(MAX(0,IFERROR('Hist_Financials'!D22/'Hist_Financials'!D7*365,0)+'Scenario_Library'!J26))/365,0))-'Hist_Financials'!D22 )+( (IFERROR(('Hist_Financials'!D6*(1+'Scenario_Library'!E26))*(1-(MAX(-0.5,MIN(0.9,IFERROR('Hist_Financials'!D8/'Hist_Financials'!D6,0)+'Scenario_Library'!F26/10000))))*(MAX(0,IFERROR('Hist_Financials'!D28/'Hist_Financials'!D7*365,0)+'Scenario_Library'!K26))/365,0))-'Hist_Financials'!D28 ))-('Hist_Financials'!D36*(1-'Scenario_Library'!P26))-('Hist_Financials'!D37*(1-'Scenario_Library'!Q26))-('Hist_Financials'!D38*(1-'Scenario_Library'!R26))-('Hist_Financials'!D27*(1-'Scenario_Library'!M26))-('Hist_Financials'!D30*'Scenario_Library'!N26*(1-'Scenario_Library'!O26)))</f>
        <v/>
      </c>
      <c r="L23" s="216">
        <f>IF('Hist_Financials'!D6=0,"",IFERROR(( (('Hist_Financials'!D27-('Hist_Financials'!D27*(1-'Scenario_Library'!M26)))+('Hist_Financials'!D30-('Hist_Financials'!D30*'Scenario_Library'!N26*(1-'Scenario_Library'!O26))))-(MAX(0,'Hist_Financials'!D20+((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-(MAX(0,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)*'Scenario_Library'!V26))+'Hist_Financials'!D12+('Hist_Financials'!D24*'Scenario_Library'!S26)+('Hist_Financials'!D25*'Scenario_Library'!T26)-( (('Hist_Financials'!D6*(1+'Scenario_Library'!E26))*(MAX(0,IFERROR('Hist_Financials'!D21/'Hist_Financials'!D6*365,0)+'Scenario_Library'!I26))/365)-'Hist_Financials'!D21 )-( (IFERROR(('Hist_Financials'!D6*(1+'Scenario_Library'!E26))*(1-(MAX(-0.5,MIN(0.9,IFERROR('Hist_Financials'!D8/'Hist_Financials'!D6,0)+'Scenario_Library'!F26/10000))))*(MAX(0,IFERROR('Hist_Financials'!D22/'Hist_Financials'!D7*365,0)+'Scenario_Library'!J26))/365,0))-'Hist_Financials'!D22 )+( (IFERROR(('Hist_Financials'!D6*(1+'Scenario_Library'!E26))*(1-(MAX(-0.5,MIN(0.9,IFERROR('Hist_Financials'!D8/'Hist_Financials'!D6,0)+'Scenario_Library'!F26/10000))))*(MAX(0,IFERROR('Hist_Financials'!D28/'Hist_Financials'!D7*365,0)+'Scenario_Library'!K26))/365,0))-'Hist_Financials'!D28 ))-('Hist_Financials'!D36*(1-'Scenario_Library'!P26))-('Hist_Financials'!D37*(1-'Scenario_Library'!Q26))-('Hist_Financials'!D38*(1-'Scenario_Library'!R26))-('Hist_Financials'!D27*(1-'Scenario_Library'!M26))-('Hist_Financials'!D30*'Scenario_Library'!N26*(1-'Scenario_Library'!O26)))) )/MAX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,0.01),99))</f>
        <v/>
      </c>
      <c r="M23" s="216">
        <f>IF('Hist_Financials'!D6=0,"",IFERROR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/MAX(((MAX(0,IFERROR('Hist_Financials'!D14/MAX('Hist_Financials'!D27+'Hist_Financials'!D30,1),0)+'Scenario_Library'!L26/10000))*('Hist_Financials'!D27+'Hist_Financials'!D30)),0.01),999))</f>
        <v/>
      </c>
      <c r="N23" s="212">
        <f>IF('Hist_Financials'!D6=0,"— NO DATA —",IF(OR((IFERROR(( (('Hist_Financials'!D27-('Hist_Financials'!D27*(1-'Scenario_Library'!M26)))+('Hist_Financials'!D30-('Hist_Financials'!D30*'Scenario_Library'!N26*(1-'Scenario_Library'!O26))))-(MAX(0,'Hist_Financials'!D20+((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-(MAX(0,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)*'Scenario_Library'!V26))+'Hist_Financials'!D12+('Hist_Financials'!D24*'Scenario_Library'!S26)+('Hist_Financials'!D25*'Scenario_Library'!T26)-( (('Hist_Financials'!D6*(1+'Scenario_Library'!E26))*(MAX(0,IFERROR('Hist_Financials'!D21/'Hist_Financials'!D6*365,0)+'Scenario_Library'!I26))/365)-'Hist_Financials'!D21 )-( (IFERROR(('Hist_Financials'!D6*(1+'Scenario_Library'!E26))*(1-(MAX(-0.5,MIN(0.9,IFERROR('Hist_Financials'!D8/'Hist_Financials'!D6,0)+'Scenario_Library'!F26/10000))))*(MAX(0,IFERROR('Hist_Financials'!D22/'Hist_Financials'!D7*365,0)+'Scenario_Library'!J26))/365,0))-'Hist_Financials'!D22 )+( (IFERROR(('Hist_Financials'!D6*(1+'Scenario_Library'!E26))*(1-(MAX(-0.5,MIN(0.9,IFERROR('Hist_Financials'!D8/'Hist_Financials'!D6,0)+'Scenario_Library'!F26/10000))))*(MAX(0,IFERROR('Hist_Financials'!D28/'Hist_Financials'!D7*365,0)+'Scenario_Library'!K26))/365,0))-'Hist_Financials'!D28 ))-('Hist_Financials'!D36*(1-'Scenario_Library'!P26))-('Hist_Financials'!D37*(1-'Scenario_Library'!Q26))-('Hist_Financials'!D38*(1-'Scenario_Library'!R26))-('Hist_Financials'!D27*(1-'Scenario_Library'!M26))-('Hist_Financials'!D30*'Scenario_Library'!N26*(1-'Scenario_Library'!O26)))) )/MAX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,0.01),99))&gt;'Scenario_Setup'!B13,(IFERROR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/MAX(((MAX(0,IFERROR('Hist_Financials'!D14/MAX('Hist_Financials'!D27+'Hist_Financials'!D30,1),0)+'Scenario_Library'!L26/10000))*('Hist_Financials'!D27+'Hist_Financials'!D30)),0.01),999))&lt;'Scenario_Setup'!B12,('Hist_Financials'!D32+(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-(MAX(0,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)*'Scenario_Library'!V26))-('Hist_Financials'!D37*(1-'Scenario_Library'!Q26))-('Hist_Financials'!D38*(1-'Scenario_Library'!R26)))&lt;0,(((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-(MAX(0,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)*'Scenario_Library'!V26))+'Hist_Financials'!D12+('Hist_Financials'!D24*'Scenario_Library'!S26)+('Hist_Financials'!D25*'Scenario_Library'!T26)-( (('Hist_Financials'!D6*(1+'Scenario_Library'!E26))*(MAX(0,IFERROR('Hist_Financials'!D21/'Hist_Financials'!D6*365,0)+'Scenario_Library'!I26))/365)-'Hist_Financials'!D21 )-( (IFERROR(('Hist_Financials'!D6*(1+'Scenario_Library'!E26))*(1-(MAX(-0.5,MIN(0.9,IFERROR('Hist_Financials'!D8/'Hist_Financials'!D6,0)+'Scenario_Library'!F26/10000))))*(MAX(0,IFERROR('Hist_Financials'!D22/'Hist_Financials'!D7*365,0)+'Scenario_Library'!J26))/365,0))-'Hist_Financials'!D22 )+( (IFERROR(('Hist_Financials'!D6*(1+'Scenario_Library'!E26))*(1-(MAX(-0.5,MIN(0.9,IFERROR('Hist_Financials'!D8/'Hist_Financials'!D6,0)+'Scenario_Library'!F26/10000))))*(MAX(0,IFERROR('Hist_Financials'!D28/'Hist_Financials'!D7*365,0)+'Scenario_Library'!K26))/365,0))-'Hist_Financials'!D28 ))-('Hist_Financials'!D36*(1-'Scenario_Library'!P26)))&lt;-0.2*'Hist_Financials'!D6),"CRITICAL",IF(AND((((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-(MAX(0,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)*'Scenario_Library'!V26))+'Hist_Financials'!D12+('Hist_Financials'!D24*'Scenario_Library'!S26)+('Hist_Financials'!D25*'Scenario_Library'!T26)-( (('Hist_Financials'!D6*(1+'Scenario_Library'!E26))*(MAX(0,IFERROR('Hist_Financials'!D21/'Hist_Financials'!D6*365,0)+'Scenario_Library'!I26))/365)-'Hist_Financials'!D21 )-( (IFERROR(('Hist_Financials'!D6*(1+'Scenario_Library'!E26))*(1-(MAX(-0.5,MIN(0.9,IFERROR('Hist_Financials'!D8/'Hist_Financials'!D6,0)+'Scenario_Library'!F26/10000))))*(MAX(0,IFERROR('Hist_Financials'!D22/'Hist_Financials'!D7*365,0)+'Scenario_Library'!J26))/365,0))-'Hist_Financials'!D22 )+( (IFERROR(('Hist_Financials'!D6*(1+'Scenario_Library'!E26))*(1-(MAX(-0.5,MIN(0.9,IFERROR('Hist_Financials'!D8/'Hist_Financials'!D6,0)+'Scenario_Library'!F26/10000))))*(MAX(0,IFERROR('Hist_Financials'!D28/'Hist_Financials'!D7*365,0)+'Scenario_Library'!K26))/365,0))-'Hist_Financials'!D28 ))-('Hist_Financials'!D36*(1-'Scenario_Library'!P26)))&gt;=0,(IFERROR(( (('Hist_Financials'!D27-('Hist_Financials'!D27*(1-'Scenario_Library'!M26)))+('Hist_Financials'!D30-('Hist_Financials'!D30*'Scenario_Library'!N26*(1-'Scenario_Library'!O26))))-(MAX(0,'Hist_Financials'!D20+((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-(MAX(0,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)*'Scenario_Library'!V26))+'Hist_Financials'!D12+('Hist_Financials'!D24*'Scenario_Library'!S26)+('Hist_Financials'!D25*'Scenario_Library'!T26)-( (('Hist_Financials'!D6*(1+'Scenario_Library'!E26))*(MAX(0,IFERROR('Hist_Financials'!D21/'Hist_Financials'!D6*365,0)+'Scenario_Library'!I26))/365)-'Hist_Financials'!D21 )-( (IFERROR(('Hist_Financials'!D6*(1+'Scenario_Library'!E26))*(1-(MAX(-0.5,MIN(0.9,IFERROR('Hist_Financials'!D8/'Hist_Financials'!D6,0)+'Scenario_Library'!F26/10000))))*(MAX(0,IFERROR('Hist_Financials'!D22/'Hist_Financials'!D7*365,0)+'Scenario_Library'!J26))/365,0))-'Hist_Financials'!D22 )+( (IFERROR(('Hist_Financials'!D6*(1+'Scenario_Library'!E26))*(1-(MAX(-0.5,MIN(0.9,IFERROR('Hist_Financials'!D8/'Hist_Financials'!D6,0)+'Scenario_Library'!F26/10000))))*(MAX(0,IFERROR('Hist_Financials'!D28/'Hist_Financials'!D7*365,0)+'Scenario_Library'!K26))/365,0))-'Hist_Financials'!D28 ))-('Hist_Financials'!D36*(1-'Scenario_Library'!P26))-('Hist_Financials'!D37*(1-'Scenario_Library'!Q26))-('Hist_Financials'!D38*(1-'Scenario_Library'!R26))-('Hist_Financials'!D27*(1-'Scenario_Library'!M26))-('Hist_Financials'!D30*'Scenario_Library'!N26*(1-'Scenario_Library'!O26)))) )/MAX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,0.01),99))&lt;3,(IFERROR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/MAX(((MAX(0,IFERROR('Hist_Financials'!D14/MAX('Hist_Financials'!D27+'Hist_Financials'!D30,1),0)+'Scenario_Library'!L26/10000))*('Hist_Financials'!D27+'Hist_Financials'!D30)),0.01),999))&gt;='Scenario_Setup'!B12,('Hist_Financials'!D32+(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-(MAX(0,((((('Hist_Financials'!D6*(1+'Scenario_Library'!E26))*(MAX(-0.5,MIN(0.9,IFERROR('Hist_Financials'!D8/'Hist_Financials'!D6,0)+'Scenario_Library'!F26/10000))))-(MAX(0,'Hist_Financials'!D9*(1+'Scenario_Setup'!B9*('Scenario_Library'!E26)+('Scenario_Library'!G26))))-(MAX(0,'Hist_Financials'!D10*(1+'Scenario_Library'!H26))))-'Hist_Financials'!D12)-((MAX(0,IFERROR('Hist_Financials'!D14/MAX('Hist_Financials'!D27+'Hist_Financials'!D30,1),0)+'Scenario_Library'!L26/10000))*('Hist_Financials'!D27+'Hist_Financials'!D30))-('Hist_Financials'!D24*'Scenario_Library'!S26)-('Hist_Financials'!D25*'Scenario_Library'!T26)-('Hist_Financials'!D6*'Scenario_Library'!U26)))*'Scenario_Library'!V26))-('Hist_Financials'!D37*(1-'Scenario_Library'!Q26))-('Hist_Financials'!D38*(1-'Scenario_Library'!R26)))&gt;0),"RESILIENT","WATCH")))</f>
        <v/>
      </c>
    </row>
    <row r="24" ht="17" customHeight="1" s="28">
      <c r="B24" s="230">
        <f>'Scenario_Library'!A27</f>
        <v/>
      </c>
      <c r="C24" s="232" t="inlineStr">
        <is>
          <t>Severe</t>
        </is>
      </c>
      <c r="D24" s="221">
        <f>'Hist_Financials'!D6*(1+'Scenario_Library'!E27)</f>
        <v/>
      </c>
      <c r="E24" s="219">
        <f>('Hist_Financials'!D6*(1+'Scenario_Library'!E27))-'Hist_Financials'!D6</f>
        <v/>
      </c>
      <c r="F24" s="220">
        <f>IFERROR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/('Hist_Financials'!D6*(1+'Scenario_Library'!E27)),0)</f>
        <v/>
      </c>
      <c r="G24" s="221">
        <f>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</f>
        <v/>
      </c>
      <c r="H24" s="219">
        <f>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11</f>
        <v/>
      </c>
      <c r="I24" s="221">
        <f>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-(MAX(0,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)*'Scenario_Library'!V27)</f>
        <v/>
      </c>
      <c r="J24" s="221">
        <f>((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-(MAX(0,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)*'Scenario_Library'!V27))+'Hist_Financials'!D12+('Hist_Financials'!D24*'Scenario_Library'!S27)+('Hist_Financials'!D25*'Scenario_Library'!T27)-( (('Hist_Financials'!D6*(1+'Scenario_Library'!E27))*(MAX(0,IFERROR('Hist_Financials'!D21/'Hist_Financials'!D6*365,0)+'Scenario_Library'!I27))/365)-'Hist_Financials'!D21 )-( (IFERROR(('Hist_Financials'!D6*(1+'Scenario_Library'!E27))*(1-(MAX(-0.5,MIN(0.9,IFERROR('Hist_Financials'!D8/'Hist_Financials'!D6,0)+'Scenario_Library'!F27/10000))))*(MAX(0,IFERROR('Hist_Financials'!D22/'Hist_Financials'!D7*365,0)+'Scenario_Library'!J27))/365,0))-'Hist_Financials'!D22 )+( (IFERROR(('Hist_Financials'!D6*(1+'Scenario_Library'!E27))*(1-(MAX(-0.5,MIN(0.9,IFERROR('Hist_Financials'!D8/'Hist_Financials'!D6,0)+'Scenario_Library'!F27/10000))))*(MAX(0,IFERROR('Hist_Financials'!D28/'Hist_Financials'!D7*365,0)+'Scenario_Library'!K27))/365,0))-'Hist_Financials'!D28 ))-('Hist_Financials'!D36*(1-'Scenario_Library'!P27))</f>
        <v/>
      </c>
      <c r="K24" s="221">
        <f>MAX(0,'Hist_Financials'!D20+((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-(MAX(0,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)*'Scenario_Library'!V27))+'Hist_Financials'!D12+('Hist_Financials'!D24*'Scenario_Library'!S27)+('Hist_Financials'!D25*'Scenario_Library'!T27)-( (('Hist_Financials'!D6*(1+'Scenario_Library'!E27))*(MAX(0,IFERROR('Hist_Financials'!D21/'Hist_Financials'!D6*365,0)+'Scenario_Library'!I27))/365)-'Hist_Financials'!D21 )-( (IFERROR(('Hist_Financials'!D6*(1+'Scenario_Library'!E27))*(1-(MAX(-0.5,MIN(0.9,IFERROR('Hist_Financials'!D8/'Hist_Financials'!D6,0)+'Scenario_Library'!F27/10000))))*(MAX(0,IFERROR('Hist_Financials'!D22/'Hist_Financials'!D7*365,0)+'Scenario_Library'!J27))/365,0))-'Hist_Financials'!D22 )+( (IFERROR(('Hist_Financials'!D6*(1+'Scenario_Library'!E27))*(1-(MAX(-0.5,MIN(0.9,IFERROR('Hist_Financials'!D8/'Hist_Financials'!D6,0)+'Scenario_Library'!F27/10000))))*(MAX(0,IFERROR('Hist_Financials'!D28/'Hist_Financials'!D7*365,0)+'Scenario_Library'!K27))/365,0))-'Hist_Financials'!D28 ))-('Hist_Financials'!D36*(1-'Scenario_Library'!P27))-('Hist_Financials'!D37*(1-'Scenario_Library'!Q27))-('Hist_Financials'!D38*(1-'Scenario_Library'!R27))-('Hist_Financials'!D27*(1-'Scenario_Library'!M27))-('Hist_Financials'!D30*'Scenario_Library'!N27*(1-'Scenario_Library'!O27)))</f>
        <v/>
      </c>
      <c r="L24" s="222">
        <f>IF('Hist_Financials'!D6=0,"",IFERROR(( (('Hist_Financials'!D27-('Hist_Financials'!D27*(1-'Scenario_Library'!M27)))+('Hist_Financials'!D30-('Hist_Financials'!D30*'Scenario_Library'!N27*(1-'Scenario_Library'!O27))))-(MAX(0,'Hist_Financials'!D20+((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-(MAX(0,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)*'Scenario_Library'!V27))+'Hist_Financials'!D12+('Hist_Financials'!D24*'Scenario_Library'!S27)+('Hist_Financials'!D25*'Scenario_Library'!T27)-( (('Hist_Financials'!D6*(1+'Scenario_Library'!E27))*(MAX(0,IFERROR('Hist_Financials'!D21/'Hist_Financials'!D6*365,0)+'Scenario_Library'!I27))/365)-'Hist_Financials'!D21 )-( (IFERROR(('Hist_Financials'!D6*(1+'Scenario_Library'!E27))*(1-(MAX(-0.5,MIN(0.9,IFERROR('Hist_Financials'!D8/'Hist_Financials'!D6,0)+'Scenario_Library'!F27/10000))))*(MAX(0,IFERROR('Hist_Financials'!D22/'Hist_Financials'!D7*365,0)+'Scenario_Library'!J27))/365,0))-'Hist_Financials'!D22 )+( (IFERROR(('Hist_Financials'!D6*(1+'Scenario_Library'!E27))*(1-(MAX(-0.5,MIN(0.9,IFERROR('Hist_Financials'!D8/'Hist_Financials'!D6,0)+'Scenario_Library'!F27/10000))))*(MAX(0,IFERROR('Hist_Financials'!D28/'Hist_Financials'!D7*365,0)+'Scenario_Library'!K27))/365,0))-'Hist_Financials'!D28 ))-('Hist_Financials'!D36*(1-'Scenario_Library'!P27))-('Hist_Financials'!D37*(1-'Scenario_Library'!Q27))-('Hist_Financials'!D38*(1-'Scenario_Library'!R27))-('Hist_Financials'!D27*(1-'Scenario_Library'!M27))-('Hist_Financials'!D30*'Scenario_Library'!N27*(1-'Scenario_Library'!O27)))) )/MAX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,0.01),99))</f>
        <v/>
      </c>
      <c r="M24" s="222">
        <f>IF('Hist_Financials'!D6=0,"",IFERROR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/MAX(((MAX(0,IFERROR('Hist_Financials'!D14/MAX('Hist_Financials'!D27+'Hist_Financials'!D30,1),0)+'Scenario_Library'!L27/10000))*('Hist_Financials'!D27+'Hist_Financials'!D30)),0.01),999))</f>
        <v/>
      </c>
      <c r="N24" s="218">
        <f>IF('Hist_Financials'!D6=0,"— NO DATA —",IF(OR((IFERROR(( (('Hist_Financials'!D27-('Hist_Financials'!D27*(1-'Scenario_Library'!M27)))+('Hist_Financials'!D30-('Hist_Financials'!D30*'Scenario_Library'!N27*(1-'Scenario_Library'!O27))))-(MAX(0,'Hist_Financials'!D20+((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-(MAX(0,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)*'Scenario_Library'!V27))+'Hist_Financials'!D12+('Hist_Financials'!D24*'Scenario_Library'!S27)+('Hist_Financials'!D25*'Scenario_Library'!T27)-( (('Hist_Financials'!D6*(1+'Scenario_Library'!E27))*(MAX(0,IFERROR('Hist_Financials'!D21/'Hist_Financials'!D6*365,0)+'Scenario_Library'!I27))/365)-'Hist_Financials'!D21 )-( (IFERROR(('Hist_Financials'!D6*(1+'Scenario_Library'!E27))*(1-(MAX(-0.5,MIN(0.9,IFERROR('Hist_Financials'!D8/'Hist_Financials'!D6,0)+'Scenario_Library'!F27/10000))))*(MAX(0,IFERROR('Hist_Financials'!D22/'Hist_Financials'!D7*365,0)+'Scenario_Library'!J27))/365,0))-'Hist_Financials'!D22 )+( (IFERROR(('Hist_Financials'!D6*(1+'Scenario_Library'!E27))*(1-(MAX(-0.5,MIN(0.9,IFERROR('Hist_Financials'!D8/'Hist_Financials'!D6,0)+'Scenario_Library'!F27/10000))))*(MAX(0,IFERROR('Hist_Financials'!D28/'Hist_Financials'!D7*365,0)+'Scenario_Library'!K27))/365,0))-'Hist_Financials'!D28 ))-('Hist_Financials'!D36*(1-'Scenario_Library'!P27))-('Hist_Financials'!D37*(1-'Scenario_Library'!Q27))-('Hist_Financials'!D38*(1-'Scenario_Library'!R27))-('Hist_Financials'!D27*(1-'Scenario_Library'!M27))-('Hist_Financials'!D30*'Scenario_Library'!N27*(1-'Scenario_Library'!O27)))) )/MAX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,0.01),99))&gt;'Scenario_Setup'!B13,(IFERROR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/MAX(((MAX(0,IFERROR('Hist_Financials'!D14/MAX('Hist_Financials'!D27+'Hist_Financials'!D30,1),0)+'Scenario_Library'!L27/10000))*('Hist_Financials'!D27+'Hist_Financials'!D30)),0.01),999))&lt;'Scenario_Setup'!B12,('Hist_Financials'!D32+(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-(MAX(0,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)*'Scenario_Library'!V27))-('Hist_Financials'!D37*(1-'Scenario_Library'!Q27))-('Hist_Financials'!D38*(1-'Scenario_Library'!R27)))&lt;0,(((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-(MAX(0,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)*'Scenario_Library'!V27))+'Hist_Financials'!D12+('Hist_Financials'!D24*'Scenario_Library'!S27)+('Hist_Financials'!D25*'Scenario_Library'!T27)-( (('Hist_Financials'!D6*(1+'Scenario_Library'!E27))*(MAX(0,IFERROR('Hist_Financials'!D21/'Hist_Financials'!D6*365,0)+'Scenario_Library'!I27))/365)-'Hist_Financials'!D21 )-( (IFERROR(('Hist_Financials'!D6*(1+'Scenario_Library'!E27))*(1-(MAX(-0.5,MIN(0.9,IFERROR('Hist_Financials'!D8/'Hist_Financials'!D6,0)+'Scenario_Library'!F27/10000))))*(MAX(0,IFERROR('Hist_Financials'!D22/'Hist_Financials'!D7*365,0)+'Scenario_Library'!J27))/365,0))-'Hist_Financials'!D22 )+( (IFERROR(('Hist_Financials'!D6*(1+'Scenario_Library'!E27))*(1-(MAX(-0.5,MIN(0.9,IFERROR('Hist_Financials'!D8/'Hist_Financials'!D6,0)+'Scenario_Library'!F27/10000))))*(MAX(0,IFERROR('Hist_Financials'!D28/'Hist_Financials'!D7*365,0)+'Scenario_Library'!K27))/365,0))-'Hist_Financials'!D28 ))-('Hist_Financials'!D36*(1-'Scenario_Library'!P27)))&lt;-0.2*'Hist_Financials'!D6),"CRITICAL",IF(AND((((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-(MAX(0,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)*'Scenario_Library'!V27))+'Hist_Financials'!D12+('Hist_Financials'!D24*'Scenario_Library'!S27)+('Hist_Financials'!D25*'Scenario_Library'!T27)-( (('Hist_Financials'!D6*(1+'Scenario_Library'!E27))*(MAX(0,IFERROR('Hist_Financials'!D21/'Hist_Financials'!D6*365,0)+'Scenario_Library'!I27))/365)-'Hist_Financials'!D21 )-( (IFERROR(('Hist_Financials'!D6*(1+'Scenario_Library'!E27))*(1-(MAX(-0.5,MIN(0.9,IFERROR('Hist_Financials'!D8/'Hist_Financials'!D6,0)+'Scenario_Library'!F27/10000))))*(MAX(0,IFERROR('Hist_Financials'!D22/'Hist_Financials'!D7*365,0)+'Scenario_Library'!J27))/365,0))-'Hist_Financials'!D22 )+( (IFERROR(('Hist_Financials'!D6*(1+'Scenario_Library'!E27))*(1-(MAX(-0.5,MIN(0.9,IFERROR('Hist_Financials'!D8/'Hist_Financials'!D6,0)+'Scenario_Library'!F27/10000))))*(MAX(0,IFERROR('Hist_Financials'!D28/'Hist_Financials'!D7*365,0)+'Scenario_Library'!K27))/365,0))-'Hist_Financials'!D28 ))-('Hist_Financials'!D36*(1-'Scenario_Library'!P27)))&gt;=0,(IFERROR(( (('Hist_Financials'!D27-('Hist_Financials'!D27*(1-'Scenario_Library'!M27)))+('Hist_Financials'!D30-('Hist_Financials'!D30*'Scenario_Library'!N27*(1-'Scenario_Library'!O27))))-(MAX(0,'Hist_Financials'!D20+((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-(MAX(0,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)*'Scenario_Library'!V27))+'Hist_Financials'!D12+('Hist_Financials'!D24*'Scenario_Library'!S27)+('Hist_Financials'!D25*'Scenario_Library'!T27)-( (('Hist_Financials'!D6*(1+'Scenario_Library'!E27))*(MAX(0,IFERROR('Hist_Financials'!D21/'Hist_Financials'!D6*365,0)+'Scenario_Library'!I27))/365)-'Hist_Financials'!D21 )-( (IFERROR(('Hist_Financials'!D6*(1+'Scenario_Library'!E27))*(1-(MAX(-0.5,MIN(0.9,IFERROR('Hist_Financials'!D8/'Hist_Financials'!D6,0)+'Scenario_Library'!F27/10000))))*(MAX(0,IFERROR('Hist_Financials'!D22/'Hist_Financials'!D7*365,0)+'Scenario_Library'!J27))/365,0))-'Hist_Financials'!D22 )+( (IFERROR(('Hist_Financials'!D6*(1+'Scenario_Library'!E27))*(1-(MAX(-0.5,MIN(0.9,IFERROR('Hist_Financials'!D8/'Hist_Financials'!D6,0)+'Scenario_Library'!F27/10000))))*(MAX(0,IFERROR('Hist_Financials'!D28/'Hist_Financials'!D7*365,0)+'Scenario_Library'!K27))/365,0))-'Hist_Financials'!D28 ))-('Hist_Financials'!D36*(1-'Scenario_Library'!P27))-('Hist_Financials'!D37*(1-'Scenario_Library'!Q27))-('Hist_Financials'!D38*(1-'Scenario_Library'!R27))-('Hist_Financials'!D27*(1-'Scenario_Library'!M27))-('Hist_Financials'!D30*'Scenario_Library'!N27*(1-'Scenario_Library'!O27)))) )/MAX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,0.01),99))&lt;3,(IFERROR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/MAX(((MAX(0,IFERROR('Hist_Financials'!D14/MAX('Hist_Financials'!D27+'Hist_Financials'!D30,1),0)+'Scenario_Library'!L27/10000))*('Hist_Financials'!D27+'Hist_Financials'!D30)),0.01),999))&gt;='Scenario_Setup'!B12,('Hist_Financials'!D32+(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-(MAX(0,((((('Hist_Financials'!D6*(1+'Scenario_Library'!E27))*(MAX(-0.5,MIN(0.9,IFERROR('Hist_Financials'!D8/'Hist_Financials'!D6,0)+'Scenario_Library'!F27/10000))))-(MAX(0,'Hist_Financials'!D9*(1+'Scenario_Setup'!B9*('Scenario_Library'!E27)+('Scenario_Library'!G27))))-(MAX(0,'Hist_Financials'!D10*(1+'Scenario_Library'!H27))))-'Hist_Financials'!D12)-((MAX(0,IFERROR('Hist_Financials'!D14/MAX('Hist_Financials'!D27+'Hist_Financials'!D30,1),0)+'Scenario_Library'!L27/10000))*('Hist_Financials'!D27+'Hist_Financials'!D30))-('Hist_Financials'!D24*'Scenario_Library'!S27)-('Hist_Financials'!D25*'Scenario_Library'!T27)-('Hist_Financials'!D6*'Scenario_Library'!U27)))*'Scenario_Library'!V27))-('Hist_Financials'!D37*(1-'Scenario_Library'!Q27))-('Hist_Financials'!D38*(1-'Scenario_Library'!R27)))&gt;0),"RESILIENT","WATCH")))</f>
        <v/>
      </c>
    </row>
    <row r="25" ht="17" customHeight="1" s="28">
      <c r="B25" s="223">
        <f>'Scenario_Library'!A28</f>
        <v/>
      </c>
      <c r="C25" s="224" t="inlineStr">
        <is>
          <t>Light</t>
        </is>
      </c>
      <c r="D25" s="225">
        <f>'Hist_Financials'!D6*(1+'Scenario_Library'!E28)</f>
        <v/>
      </c>
      <c r="E25" s="226">
        <f>('Hist_Financials'!D6*(1+'Scenario_Library'!E28))-'Hist_Financials'!D6</f>
        <v/>
      </c>
      <c r="F25" s="227">
        <f>IFERROR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/('Hist_Financials'!D6*(1+'Scenario_Library'!E28)),0)</f>
        <v/>
      </c>
      <c r="G25" s="225">
        <f>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</f>
        <v/>
      </c>
      <c r="H25" s="226">
        <f>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11</f>
        <v/>
      </c>
      <c r="I25" s="225">
        <f>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-(MAX(0,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)*'Scenario_Library'!V28)</f>
        <v/>
      </c>
      <c r="J25" s="225">
        <f>((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-(MAX(0,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)*'Scenario_Library'!V28))+'Hist_Financials'!D12+('Hist_Financials'!D24*'Scenario_Library'!S28)+('Hist_Financials'!D25*'Scenario_Library'!T28)-( (('Hist_Financials'!D6*(1+'Scenario_Library'!E28))*(MAX(0,IFERROR('Hist_Financials'!D21/'Hist_Financials'!D6*365,0)+'Scenario_Library'!I28))/365)-'Hist_Financials'!D21 )-( (IFERROR(('Hist_Financials'!D6*(1+'Scenario_Library'!E28))*(1-(MAX(-0.5,MIN(0.9,IFERROR('Hist_Financials'!D8/'Hist_Financials'!D6,0)+'Scenario_Library'!F28/10000))))*(MAX(0,IFERROR('Hist_Financials'!D22/'Hist_Financials'!D7*365,0)+'Scenario_Library'!J28))/365,0))-'Hist_Financials'!D22 )+( (IFERROR(('Hist_Financials'!D6*(1+'Scenario_Library'!E28))*(1-(MAX(-0.5,MIN(0.9,IFERROR('Hist_Financials'!D8/'Hist_Financials'!D6,0)+'Scenario_Library'!F28/10000))))*(MAX(0,IFERROR('Hist_Financials'!D28/'Hist_Financials'!D7*365,0)+'Scenario_Library'!K28))/365,0))-'Hist_Financials'!D28 ))-('Hist_Financials'!D36*(1-'Scenario_Library'!P28))</f>
        <v/>
      </c>
      <c r="K25" s="225">
        <f>MAX(0,'Hist_Financials'!D20+((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-(MAX(0,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)*'Scenario_Library'!V28))+'Hist_Financials'!D12+('Hist_Financials'!D24*'Scenario_Library'!S28)+('Hist_Financials'!D25*'Scenario_Library'!T28)-( (('Hist_Financials'!D6*(1+'Scenario_Library'!E28))*(MAX(0,IFERROR('Hist_Financials'!D21/'Hist_Financials'!D6*365,0)+'Scenario_Library'!I28))/365)-'Hist_Financials'!D21 )-( (IFERROR(('Hist_Financials'!D6*(1+'Scenario_Library'!E28))*(1-(MAX(-0.5,MIN(0.9,IFERROR('Hist_Financials'!D8/'Hist_Financials'!D6,0)+'Scenario_Library'!F28/10000))))*(MAX(0,IFERROR('Hist_Financials'!D22/'Hist_Financials'!D7*365,0)+'Scenario_Library'!J28))/365,0))-'Hist_Financials'!D22 )+( (IFERROR(('Hist_Financials'!D6*(1+'Scenario_Library'!E28))*(1-(MAX(-0.5,MIN(0.9,IFERROR('Hist_Financials'!D8/'Hist_Financials'!D6,0)+'Scenario_Library'!F28/10000))))*(MAX(0,IFERROR('Hist_Financials'!D28/'Hist_Financials'!D7*365,0)+'Scenario_Library'!K28))/365,0))-'Hist_Financials'!D28 ))-('Hist_Financials'!D36*(1-'Scenario_Library'!P28))-('Hist_Financials'!D37*(1-'Scenario_Library'!Q28))-('Hist_Financials'!D38*(1-'Scenario_Library'!R28))-('Hist_Financials'!D27*(1-'Scenario_Library'!M28))-('Hist_Financials'!D30*'Scenario_Library'!N28*(1-'Scenario_Library'!O28)))</f>
        <v/>
      </c>
      <c r="L25" s="228">
        <f>IF('Hist_Financials'!D6=0,"",IFERROR(( (('Hist_Financials'!D27-('Hist_Financials'!D27*(1-'Scenario_Library'!M28)))+('Hist_Financials'!D30-('Hist_Financials'!D30*'Scenario_Library'!N28*(1-'Scenario_Library'!O28))))-(MAX(0,'Hist_Financials'!D20+((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-(MAX(0,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)*'Scenario_Library'!V28))+'Hist_Financials'!D12+('Hist_Financials'!D24*'Scenario_Library'!S28)+('Hist_Financials'!D25*'Scenario_Library'!T28)-( (('Hist_Financials'!D6*(1+'Scenario_Library'!E28))*(MAX(0,IFERROR('Hist_Financials'!D21/'Hist_Financials'!D6*365,0)+'Scenario_Library'!I28))/365)-'Hist_Financials'!D21 )-( (IFERROR(('Hist_Financials'!D6*(1+'Scenario_Library'!E28))*(1-(MAX(-0.5,MIN(0.9,IFERROR('Hist_Financials'!D8/'Hist_Financials'!D6,0)+'Scenario_Library'!F28/10000))))*(MAX(0,IFERROR('Hist_Financials'!D22/'Hist_Financials'!D7*365,0)+'Scenario_Library'!J28))/365,0))-'Hist_Financials'!D22 )+( (IFERROR(('Hist_Financials'!D6*(1+'Scenario_Library'!E28))*(1-(MAX(-0.5,MIN(0.9,IFERROR('Hist_Financials'!D8/'Hist_Financials'!D6,0)+'Scenario_Library'!F28/10000))))*(MAX(0,IFERROR('Hist_Financials'!D28/'Hist_Financials'!D7*365,0)+'Scenario_Library'!K28))/365,0))-'Hist_Financials'!D28 ))-('Hist_Financials'!D36*(1-'Scenario_Library'!P28))-('Hist_Financials'!D37*(1-'Scenario_Library'!Q28))-('Hist_Financials'!D38*(1-'Scenario_Library'!R28))-('Hist_Financials'!D27*(1-'Scenario_Library'!M28))-('Hist_Financials'!D30*'Scenario_Library'!N28*(1-'Scenario_Library'!O28)))) )/MAX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,0.01),99))</f>
        <v/>
      </c>
      <c r="M25" s="228">
        <f>IF('Hist_Financials'!D6=0,"",IFERROR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/MAX(((MAX(0,IFERROR('Hist_Financials'!D14/MAX('Hist_Financials'!D27+'Hist_Financials'!D30,1),0)+'Scenario_Library'!L28/10000))*('Hist_Financials'!D27+'Hist_Financials'!D30)),0.01),999))</f>
        <v/>
      </c>
      <c r="N25" s="229">
        <f>IF('Hist_Financials'!D6=0,"— NO DATA —",IF(OR((IFERROR(( (('Hist_Financials'!D27-('Hist_Financials'!D27*(1-'Scenario_Library'!M28)))+('Hist_Financials'!D30-('Hist_Financials'!D30*'Scenario_Library'!N28*(1-'Scenario_Library'!O28))))-(MAX(0,'Hist_Financials'!D20+((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-(MAX(0,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)*'Scenario_Library'!V28))+'Hist_Financials'!D12+('Hist_Financials'!D24*'Scenario_Library'!S28)+('Hist_Financials'!D25*'Scenario_Library'!T28)-( (('Hist_Financials'!D6*(1+'Scenario_Library'!E28))*(MAX(0,IFERROR('Hist_Financials'!D21/'Hist_Financials'!D6*365,0)+'Scenario_Library'!I28))/365)-'Hist_Financials'!D21 )-( (IFERROR(('Hist_Financials'!D6*(1+'Scenario_Library'!E28))*(1-(MAX(-0.5,MIN(0.9,IFERROR('Hist_Financials'!D8/'Hist_Financials'!D6,0)+'Scenario_Library'!F28/10000))))*(MAX(0,IFERROR('Hist_Financials'!D22/'Hist_Financials'!D7*365,0)+'Scenario_Library'!J28))/365,0))-'Hist_Financials'!D22 )+( (IFERROR(('Hist_Financials'!D6*(1+'Scenario_Library'!E28))*(1-(MAX(-0.5,MIN(0.9,IFERROR('Hist_Financials'!D8/'Hist_Financials'!D6,0)+'Scenario_Library'!F28/10000))))*(MAX(0,IFERROR('Hist_Financials'!D28/'Hist_Financials'!D7*365,0)+'Scenario_Library'!K28))/365,0))-'Hist_Financials'!D28 ))-('Hist_Financials'!D36*(1-'Scenario_Library'!P28))-('Hist_Financials'!D37*(1-'Scenario_Library'!Q28))-('Hist_Financials'!D38*(1-'Scenario_Library'!R28))-('Hist_Financials'!D27*(1-'Scenario_Library'!M28))-('Hist_Financials'!D30*'Scenario_Library'!N28*(1-'Scenario_Library'!O28)))) )/MAX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,0.01),99))&gt;'Scenario_Setup'!B13,(IFERROR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/MAX(((MAX(0,IFERROR('Hist_Financials'!D14/MAX('Hist_Financials'!D27+'Hist_Financials'!D30,1),0)+'Scenario_Library'!L28/10000))*('Hist_Financials'!D27+'Hist_Financials'!D30)),0.01),999))&lt;'Scenario_Setup'!B12,('Hist_Financials'!D32+(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-(MAX(0,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)*'Scenario_Library'!V28))-('Hist_Financials'!D37*(1-'Scenario_Library'!Q28))-('Hist_Financials'!D38*(1-'Scenario_Library'!R28)))&lt;0,(((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-(MAX(0,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)*'Scenario_Library'!V28))+'Hist_Financials'!D12+('Hist_Financials'!D24*'Scenario_Library'!S28)+('Hist_Financials'!D25*'Scenario_Library'!T28)-( (('Hist_Financials'!D6*(1+'Scenario_Library'!E28))*(MAX(0,IFERROR('Hist_Financials'!D21/'Hist_Financials'!D6*365,0)+'Scenario_Library'!I28))/365)-'Hist_Financials'!D21 )-( (IFERROR(('Hist_Financials'!D6*(1+'Scenario_Library'!E28))*(1-(MAX(-0.5,MIN(0.9,IFERROR('Hist_Financials'!D8/'Hist_Financials'!D6,0)+'Scenario_Library'!F28/10000))))*(MAX(0,IFERROR('Hist_Financials'!D22/'Hist_Financials'!D7*365,0)+'Scenario_Library'!J28))/365,0))-'Hist_Financials'!D22 )+( (IFERROR(('Hist_Financials'!D6*(1+'Scenario_Library'!E28))*(1-(MAX(-0.5,MIN(0.9,IFERROR('Hist_Financials'!D8/'Hist_Financials'!D6,0)+'Scenario_Library'!F28/10000))))*(MAX(0,IFERROR('Hist_Financials'!D28/'Hist_Financials'!D7*365,0)+'Scenario_Library'!K28))/365,0))-'Hist_Financials'!D28 ))-('Hist_Financials'!D36*(1-'Scenario_Library'!P28)))&lt;-0.2*'Hist_Financials'!D6),"CRITICAL",IF(AND((((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-(MAX(0,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)*'Scenario_Library'!V28))+'Hist_Financials'!D12+('Hist_Financials'!D24*'Scenario_Library'!S28)+('Hist_Financials'!D25*'Scenario_Library'!T28)-( (('Hist_Financials'!D6*(1+'Scenario_Library'!E28))*(MAX(0,IFERROR('Hist_Financials'!D21/'Hist_Financials'!D6*365,0)+'Scenario_Library'!I28))/365)-'Hist_Financials'!D21 )-( (IFERROR(('Hist_Financials'!D6*(1+'Scenario_Library'!E28))*(1-(MAX(-0.5,MIN(0.9,IFERROR('Hist_Financials'!D8/'Hist_Financials'!D6,0)+'Scenario_Library'!F28/10000))))*(MAX(0,IFERROR('Hist_Financials'!D22/'Hist_Financials'!D7*365,0)+'Scenario_Library'!J28))/365,0))-'Hist_Financials'!D22 )+( (IFERROR(('Hist_Financials'!D6*(1+'Scenario_Library'!E28))*(1-(MAX(-0.5,MIN(0.9,IFERROR('Hist_Financials'!D8/'Hist_Financials'!D6,0)+'Scenario_Library'!F28/10000))))*(MAX(0,IFERROR('Hist_Financials'!D28/'Hist_Financials'!D7*365,0)+'Scenario_Library'!K28))/365,0))-'Hist_Financials'!D28 ))-('Hist_Financials'!D36*(1-'Scenario_Library'!P28)))&gt;=0,(IFERROR(( (('Hist_Financials'!D27-('Hist_Financials'!D27*(1-'Scenario_Library'!M28)))+('Hist_Financials'!D30-('Hist_Financials'!D30*'Scenario_Library'!N28*(1-'Scenario_Library'!O28))))-(MAX(0,'Hist_Financials'!D20+((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-(MAX(0,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)*'Scenario_Library'!V28))+'Hist_Financials'!D12+('Hist_Financials'!D24*'Scenario_Library'!S28)+('Hist_Financials'!D25*'Scenario_Library'!T28)-( (('Hist_Financials'!D6*(1+'Scenario_Library'!E28))*(MAX(0,IFERROR('Hist_Financials'!D21/'Hist_Financials'!D6*365,0)+'Scenario_Library'!I28))/365)-'Hist_Financials'!D21 )-( (IFERROR(('Hist_Financials'!D6*(1+'Scenario_Library'!E28))*(1-(MAX(-0.5,MIN(0.9,IFERROR('Hist_Financials'!D8/'Hist_Financials'!D6,0)+'Scenario_Library'!F28/10000))))*(MAX(0,IFERROR('Hist_Financials'!D22/'Hist_Financials'!D7*365,0)+'Scenario_Library'!J28))/365,0))-'Hist_Financials'!D22 )+( (IFERROR(('Hist_Financials'!D6*(1+'Scenario_Library'!E28))*(1-(MAX(-0.5,MIN(0.9,IFERROR('Hist_Financials'!D8/'Hist_Financials'!D6,0)+'Scenario_Library'!F28/10000))))*(MAX(0,IFERROR('Hist_Financials'!D28/'Hist_Financials'!D7*365,0)+'Scenario_Library'!K28))/365,0))-'Hist_Financials'!D28 ))-('Hist_Financials'!D36*(1-'Scenario_Library'!P28))-('Hist_Financials'!D37*(1-'Scenario_Library'!Q28))-('Hist_Financials'!D38*(1-'Scenario_Library'!R28))-('Hist_Financials'!D27*(1-'Scenario_Library'!M28))-('Hist_Financials'!D30*'Scenario_Library'!N28*(1-'Scenario_Library'!O28)))) )/MAX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,0.01),99))&lt;3,(IFERROR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/MAX(((MAX(0,IFERROR('Hist_Financials'!D14/MAX('Hist_Financials'!D27+'Hist_Financials'!D30,1),0)+'Scenario_Library'!L28/10000))*('Hist_Financials'!D27+'Hist_Financials'!D30)),0.01),999))&gt;='Scenario_Setup'!B12,('Hist_Financials'!D32+(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-(MAX(0,((((('Hist_Financials'!D6*(1+'Scenario_Library'!E28))*(MAX(-0.5,MIN(0.9,IFERROR('Hist_Financials'!D8/'Hist_Financials'!D6,0)+'Scenario_Library'!F28/10000))))-(MAX(0,'Hist_Financials'!D9*(1+'Scenario_Setup'!B9*('Scenario_Library'!E28)+('Scenario_Library'!G28))))-(MAX(0,'Hist_Financials'!D10*(1+'Scenario_Library'!H28))))-'Hist_Financials'!D12)-((MAX(0,IFERROR('Hist_Financials'!D14/MAX('Hist_Financials'!D27+'Hist_Financials'!D30,1),0)+'Scenario_Library'!L28/10000))*('Hist_Financials'!D27+'Hist_Financials'!D30))-('Hist_Financials'!D24*'Scenario_Library'!S28)-('Hist_Financials'!D25*'Scenario_Library'!T28)-('Hist_Financials'!D6*'Scenario_Library'!U28)))*'Scenario_Library'!V28))-('Hist_Financials'!D37*(1-'Scenario_Library'!Q28))-('Hist_Financials'!D38*(1-'Scenario_Library'!R28)))&gt;0),"RESILIENT","WATCH")))</f>
        <v/>
      </c>
    </row>
    <row r="26" ht="17" customHeight="1" s="28">
      <c r="B26" s="230">
        <f>'Scenario_Library'!A29</f>
        <v/>
      </c>
      <c r="C26" s="231" t="inlineStr">
        <is>
          <t>Base</t>
        </is>
      </c>
      <c r="D26" s="215">
        <f>'Hist_Financials'!D6*(1+'Scenario_Library'!E29)</f>
        <v/>
      </c>
      <c r="E26" s="213">
        <f>('Hist_Financials'!D6*(1+'Scenario_Library'!E29))-'Hist_Financials'!D6</f>
        <v/>
      </c>
      <c r="F26" s="214">
        <f>IFERROR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/('Hist_Financials'!D6*(1+'Scenario_Library'!E29)),0)</f>
        <v/>
      </c>
      <c r="G26" s="215">
        <f>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</f>
        <v/>
      </c>
      <c r="H26" s="213">
        <f>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11</f>
        <v/>
      </c>
      <c r="I26" s="215">
        <f>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-(MAX(0,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)*'Scenario_Library'!V29)</f>
        <v/>
      </c>
      <c r="J26" s="215">
        <f>((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-(MAX(0,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)*'Scenario_Library'!V29))+'Hist_Financials'!D12+('Hist_Financials'!D24*'Scenario_Library'!S29)+('Hist_Financials'!D25*'Scenario_Library'!T29)-( (('Hist_Financials'!D6*(1+'Scenario_Library'!E29))*(MAX(0,IFERROR('Hist_Financials'!D21/'Hist_Financials'!D6*365,0)+'Scenario_Library'!I29))/365)-'Hist_Financials'!D21 )-( (IFERROR(('Hist_Financials'!D6*(1+'Scenario_Library'!E29))*(1-(MAX(-0.5,MIN(0.9,IFERROR('Hist_Financials'!D8/'Hist_Financials'!D6,0)+'Scenario_Library'!F29/10000))))*(MAX(0,IFERROR('Hist_Financials'!D22/'Hist_Financials'!D7*365,0)+'Scenario_Library'!J29))/365,0))-'Hist_Financials'!D22 )+( (IFERROR(('Hist_Financials'!D6*(1+'Scenario_Library'!E29))*(1-(MAX(-0.5,MIN(0.9,IFERROR('Hist_Financials'!D8/'Hist_Financials'!D6,0)+'Scenario_Library'!F29/10000))))*(MAX(0,IFERROR('Hist_Financials'!D28/'Hist_Financials'!D7*365,0)+'Scenario_Library'!K29))/365,0))-'Hist_Financials'!D28 ))-('Hist_Financials'!D36*(1-'Scenario_Library'!P29))</f>
        <v/>
      </c>
      <c r="K26" s="215">
        <f>MAX(0,'Hist_Financials'!D20+((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-(MAX(0,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)*'Scenario_Library'!V29))+'Hist_Financials'!D12+('Hist_Financials'!D24*'Scenario_Library'!S29)+('Hist_Financials'!D25*'Scenario_Library'!T29)-( (('Hist_Financials'!D6*(1+'Scenario_Library'!E29))*(MAX(0,IFERROR('Hist_Financials'!D21/'Hist_Financials'!D6*365,0)+'Scenario_Library'!I29))/365)-'Hist_Financials'!D21 )-( (IFERROR(('Hist_Financials'!D6*(1+'Scenario_Library'!E29))*(1-(MAX(-0.5,MIN(0.9,IFERROR('Hist_Financials'!D8/'Hist_Financials'!D6,0)+'Scenario_Library'!F29/10000))))*(MAX(0,IFERROR('Hist_Financials'!D22/'Hist_Financials'!D7*365,0)+'Scenario_Library'!J29))/365,0))-'Hist_Financials'!D22 )+( (IFERROR(('Hist_Financials'!D6*(1+'Scenario_Library'!E29))*(1-(MAX(-0.5,MIN(0.9,IFERROR('Hist_Financials'!D8/'Hist_Financials'!D6,0)+'Scenario_Library'!F29/10000))))*(MAX(0,IFERROR('Hist_Financials'!D28/'Hist_Financials'!D7*365,0)+'Scenario_Library'!K29))/365,0))-'Hist_Financials'!D28 ))-('Hist_Financials'!D36*(1-'Scenario_Library'!P29))-('Hist_Financials'!D37*(1-'Scenario_Library'!Q29))-('Hist_Financials'!D38*(1-'Scenario_Library'!R29))-('Hist_Financials'!D27*(1-'Scenario_Library'!M29))-('Hist_Financials'!D30*'Scenario_Library'!N29*(1-'Scenario_Library'!O29)))</f>
        <v/>
      </c>
      <c r="L26" s="216">
        <f>IF('Hist_Financials'!D6=0,"",IFERROR(( (('Hist_Financials'!D27-('Hist_Financials'!D27*(1-'Scenario_Library'!M29)))+('Hist_Financials'!D30-('Hist_Financials'!D30*'Scenario_Library'!N29*(1-'Scenario_Library'!O29))))-(MAX(0,'Hist_Financials'!D20+((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-(MAX(0,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)*'Scenario_Library'!V29))+'Hist_Financials'!D12+('Hist_Financials'!D24*'Scenario_Library'!S29)+('Hist_Financials'!D25*'Scenario_Library'!T29)-( (('Hist_Financials'!D6*(1+'Scenario_Library'!E29))*(MAX(0,IFERROR('Hist_Financials'!D21/'Hist_Financials'!D6*365,0)+'Scenario_Library'!I29))/365)-'Hist_Financials'!D21 )-( (IFERROR(('Hist_Financials'!D6*(1+'Scenario_Library'!E29))*(1-(MAX(-0.5,MIN(0.9,IFERROR('Hist_Financials'!D8/'Hist_Financials'!D6,0)+'Scenario_Library'!F29/10000))))*(MAX(0,IFERROR('Hist_Financials'!D22/'Hist_Financials'!D7*365,0)+'Scenario_Library'!J29))/365,0))-'Hist_Financials'!D22 )+( (IFERROR(('Hist_Financials'!D6*(1+'Scenario_Library'!E29))*(1-(MAX(-0.5,MIN(0.9,IFERROR('Hist_Financials'!D8/'Hist_Financials'!D6,0)+'Scenario_Library'!F29/10000))))*(MAX(0,IFERROR('Hist_Financials'!D28/'Hist_Financials'!D7*365,0)+'Scenario_Library'!K29))/365,0))-'Hist_Financials'!D28 ))-('Hist_Financials'!D36*(1-'Scenario_Library'!P29))-('Hist_Financials'!D37*(1-'Scenario_Library'!Q29))-('Hist_Financials'!D38*(1-'Scenario_Library'!R29))-('Hist_Financials'!D27*(1-'Scenario_Library'!M29))-('Hist_Financials'!D30*'Scenario_Library'!N29*(1-'Scenario_Library'!O29)))) )/MAX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,0.01),99))</f>
        <v/>
      </c>
      <c r="M26" s="216">
        <f>IF('Hist_Financials'!D6=0,"",IFERROR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/MAX(((MAX(0,IFERROR('Hist_Financials'!D14/MAX('Hist_Financials'!D27+'Hist_Financials'!D30,1),0)+'Scenario_Library'!L29/10000))*('Hist_Financials'!D27+'Hist_Financials'!D30)),0.01),999))</f>
        <v/>
      </c>
      <c r="N26" s="212">
        <f>IF('Hist_Financials'!D6=0,"— NO DATA —",IF(OR((IFERROR(( (('Hist_Financials'!D27-('Hist_Financials'!D27*(1-'Scenario_Library'!M29)))+('Hist_Financials'!D30-('Hist_Financials'!D30*'Scenario_Library'!N29*(1-'Scenario_Library'!O29))))-(MAX(0,'Hist_Financials'!D20+((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-(MAX(0,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)*'Scenario_Library'!V29))+'Hist_Financials'!D12+('Hist_Financials'!D24*'Scenario_Library'!S29)+('Hist_Financials'!D25*'Scenario_Library'!T29)-( (('Hist_Financials'!D6*(1+'Scenario_Library'!E29))*(MAX(0,IFERROR('Hist_Financials'!D21/'Hist_Financials'!D6*365,0)+'Scenario_Library'!I29))/365)-'Hist_Financials'!D21 )-( (IFERROR(('Hist_Financials'!D6*(1+'Scenario_Library'!E29))*(1-(MAX(-0.5,MIN(0.9,IFERROR('Hist_Financials'!D8/'Hist_Financials'!D6,0)+'Scenario_Library'!F29/10000))))*(MAX(0,IFERROR('Hist_Financials'!D22/'Hist_Financials'!D7*365,0)+'Scenario_Library'!J29))/365,0))-'Hist_Financials'!D22 )+( (IFERROR(('Hist_Financials'!D6*(1+'Scenario_Library'!E29))*(1-(MAX(-0.5,MIN(0.9,IFERROR('Hist_Financials'!D8/'Hist_Financials'!D6,0)+'Scenario_Library'!F29/10000))))*(MAX(0,IFERROR('Hist_Financials'!D28/'Hist_Financials'!D7*365,0)+'Scenario_Library'!K29))/365,0))-'Hist_Financials'!D28 ))-('Hist_Financials'!D36*(1-'Scenario_Library'!P29))-('Hist_Financials'!D37*(1-'Scenario_Library'!Q29))-('Hist_Financials'!D38*(1-'Scenario_Library'!R29))-('Hist_Financials'!D27*(1-'Scenario_Library'!M29))-('Hist_Financials'!D30*'Scenario_Library'!N29*(1-'Scenario_Library'!O29)))) )/MAX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,0.01),99))&gt;'Scenario_Setup'!B13,(IFERROR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/MAX(((MAX(0,IFERROR('Hist_Financials'!D14/MAX('Hist_Financials'!D27+'Hist_Financials'!D30,1),0)+'Scenario_Library'!L29/10000))*('Hist_Financials'!D27+'Hist_Financials'!D30)),0.01),999))&lt;'Scenario_Setup'!B12,('Hist_Financials'!D32+(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-(MAX(0,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)*'Scenario_Library'!V29))-('Hist_Financials'!D37*(1-'Scenario_Library'!Q29))-('Hist_Financials'!D38*(1-'Scenario_Library'!R29)))&lt;0,(((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-(MAX(0,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)*'Scenario_Library'!V29))+'Hist_Financials'!D12+('Hist_Financials'!D24*'Scenario_Library'!S29)+('Hist_Financials'!D25*'Scenario_Library'!T29)-( (('Hist_Financials'!D6*(1+'Scenario_Library'!E29))*(MAX(0,IFERROR('Hist_Financials'!D21/'Hist_Financials'!D6*365,0)+'Scenario_Library'!I29))/365)-'Hist_Financials'!D21 )-( (IFERROR(('Hist_Financials'!D6*(1+'Scenario_Library'!E29))*(1-(MAX(-0.5,MIN(0.9,IFERROR('Hist_Financials'!D8/'Hist_Financials'!D6,0)+'Scenario_Library'!F29/10000))))*(MAX(0,IFERROR('Hist_Financials'!D22/'Hist_Financials'!D7*365,0)+'Scenario_Library'!J29))/365,0))-'Hist_Financials'!D22 )+( (IFERROR(('Hist_Financials'!D6*(1+'Scenario_Library'!E29))*(1-(MAX(-0.5,MIN(0.9,IFERROR('Hist_Financials'!D8/'Hist_Financials'!D6,0)+'Scenario_Library'!F29/10000))))*(MAX(0,IFERROR('Hist_Financials'!D28/'Hist_Financials'!D7*365,0)+'Scenario_Library'!K29))/365,0))-'Hist_Financials'!D28 ))-('Hist_Financials'!D36*(1-'Scenario_Library'!P29)))&lt;-0.2*'Hist_Financials'!D6),"CRITICAL",IF(AND((((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-(MAX(0,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)*'Scenario_Library'!V29))+'Hist_Financials'!D12+('Hist_Financials'!D24*'Scenario_Library'!S29)+('Hist_Financials'!D25*'Scenario_Library'!T29)-( (('Hist_Financials'!D6*(1+'Scenario_Library'!E29))*(MAX(0,IFERROR('Hist_Financials'!D21/'Hist_Financials'!D6*365,0)+'Scenario_Library'!I29))/365)-'Hist_Financials'!D21 )-( (IFERROR(('Hist_Financials'!D6*(1+'Scenario_Library'!E29))*(1-(MAX(-0.5,MIN(0.9,IFERROR('Hist_Financials'!D8/'Hist_Financials'!D6,0)+'Scenario_Library'!F29/10000))))*(MAX(0,IFERROR('Hist_Financials'!D22/'Hist_Financials'!D7*365,0)+'Scenario_Library'!J29))/365,0))-'Hist_Financials'!D22 )+( (IFERROR(('Hist_Financials'!D6*(1+'Scenario_Library'!E29))*(1-(MAX(-0.5,MIN(0.9,IFERROR('Hist_Financials'!D8/'Hist_Financials'!D6,0)+'Scenario_Library'!F29/10000))))*(MAX(0,IFERROR('Hist_Financials'!D28/'Hist_Financials'!D7*365,0)+'Scenario_Library'!K29))/365,0))-'Hist_Financials'!D28 ))-('Hist_Financials'!D36*(1-'Scenario_Library'!P29)))&gt;=0,(IFERROR(( (('Hist_Financials'!D27-('Hist_Financials'!D27*(1-'Scenario_Library'!M29)))+('Hist_Financials'!D30-('Hist_Financials'!D30*'Scenario_Library'!N29*(1-'Scenario_Library'!O29))))-(MAX(0,'Hist_Financials'!D20+((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-(MAX(0,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)*'Scenario_Library'!V29))+'Hist_Financials'!D12+('Hist_Financials'!D24*'Scenario_Library'!S29)+('Hist_Financials'!D25*'Scenario_Library'!T29)-( (('Hist_Financials'!D6*(1+'Scenario_Library'!E29))*(MAX(0,IFERROR('Hist_Financials'!D21/'Hist_Financials'!D6*365,0)+'Scenario_Library'!I29))/365)-'Hist_Financials'!D21 )-( (IFERROR(('Hist_Financials'!D6*(1+'Scenario_Library'!E29))*(1-(MAX(-0.5,MIN(0.9,IFERROR('Hist_Financials'!D8/'Hist_Financials'!D6,0)+'Scenario_Library'!F29/10000))))*(MAX(0,IFERROR('Hist_Financials'!D22/'Hist_Financials'!D7*365,0)+'Scenario_Library'!J29))/365,0))-'Hist_Financials'!D22 )+( (IFERROR(('Hist_Financials'!D6*(1+'Scenario_Library'!E29))*(1-(MAX(-0.5,MIN(0.9,IFERROR('Hist_Financials'!D8/'Hist_Financials'!D6,0)+'Scenario_Library'!F29/10000))))*(MAX(0,IFERROR('Hist_Financials'!D28/'Hist_Financials'!D7*365,0)+'Scenario_Library'!K29))/365,0))-'Hist_Financials'!D28 ))-('Hist_Financials'!D36*(1-'Scenario_Library'!P29))-('Hist_Financials'!D37*(1-'Scenario_Library'!Q29))-('Hist_Financials'!D38*(1-'Scenario_Library'!R29))-('Hist_Financials'!D27*(1-'Scenario_Library'!M29))-('Hist_Financials'!D30*'Scenario_Library'!N29*(1-'Scenario_Library'!O29)))) )/MAX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,0.01),99))&lt;3,(IFERROR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/MAX(((MAX(0,IFERROR('Hist_Financials'!D14/MAX('Hist_Financials'!D27+'Hist_Financials'!D30,1),0)+'Scenario_Library'!L29/10000))*('Hist_Financials'!D27+'Hist_Financials'!D30)),0.01),999))&gt;='Scenario_Setup'!B12,('Hist_Financials'!D32+(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-(MAX(0,((((('Hist_Financials'!D6*(1+'Scenario_Library'!E29))*(MAX(-0.5,MIN(0.9,IFERROR('Hist_Financials'!D8/'Hist_Financials'!D6,0)+'Scenario_Library'!F29/10000))))-(MAX(0,'Hist_Financials'!D9*(1+'Scenario_Setup'!B9*('Scenario_Library'!E29)+('Scenario_Library'!G29))))-(MAX(0,'Hist_Financials'!D10*(1+'Scenario_Library'!H29))))-'Hist_Financials'!D12)-((MAX(0,IFERROR('Hist_Financials'!D14/MAX('Hist_Financials'!D27+'Hist_Financials'!D30,1),0)+'Scenario_Library'!L29/10000))*('Hist_Financials'!D27+'Hist_Financials'!D30))-('Hist_Financials'!D24*'Scenario_Library'!S29)-('Hist_Financials'!D25*'Scenario_Library'!T29)-('Hist_Financials'!D6*'Scenario_Library'!U29)))*'Scenario_Library'!V29))-('Hist_Financials'!D37*(1-'Scenario_Library'!Q29))-('Hist_Financials'!D38*(1-'Scenario_Library'!R29)))&gt;0),"RESILIENT","WATCH")))</f>
        <v/>
      </c>
    </row>
    <row r="27" ht="17" customHeight="1" s="28">
      <c r="B27" s="230">
        <f>'Scenario_Library'!A30</f>
        <v/>
      </c>
      <c r="C27" s="232" t="inlineStr">
        <is>
          <t>Severe</t>
        </is>
      </c>
      <c r="D27" s="221">
        <f>'Hist_Financials'!D6*(1+'Scenario_Library'!E30)</f>
        <v/>
      </c>
      <c r="E27" s="219">
        <f>('Hist_Financials'!D6*(1+'Scenario_Library'!E30))-'Hist_Financials'!D6</f>
        <v/>
      </c>
      <c r="F27" s="220">
        <f>IFERROR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/('Hist_Financials'!D6*(1+'Scenario_Library'!E30)),0)</f>
        <v/>
      </c>
      <c r="G27" s="221">
        <f>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</f>
        <v/>
      </c>
      <c r="H27" s="219">
        <f>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11</f>
        <v/>
      </c>
      <c r="I27" s="221">
        <f>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-(MAX(0,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)*'Scenario_Library'!V30)</f>
        <v/>
      </c>
      <c r="J27" s="221">
        <f>((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-(MAX(0,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)*'Scenario_Library'!V30))+'Hist_Financials'!D12+('Hist_Financials'!D24*'Scenario_Library'!S30)+('Hist_Financials'!D25*'Scenario_Library'!T30)-( (('Hist_Financials'!D6*(1+'Scenario_Library'!E30))*(MAX(0,IFERROR('Hist_Financials'!D21/'Hist_Financials'!D6*365,0)+'Scenario_Library'!I30))/365)-'Hist_Financials'!D21 )-( (IFERROR(('Hist_Financials'!D6*(1+'Scenario_Library'!E30))*(1-(MAX(-0.5,MIN(0.9,IFERROR('Hist_Financials'!D8/'Hist_Financials'!D6,0)+'Scenario_Library'!F30/10000))))*(MAX(0,IFERROR('Hist_Financials'!D22/'Hist_Financials'!D7*365,0)+'Scenario_Library'!J30))/365,0))-'Hist_Financials'!D22 )+( (IFERROR(('Hist_Financials'!D6*(1+'Scenario_Library'!E30))*(1-(MAX(-0.5,MIN(0.9,IFERROR('Hist_Financials'!D8/'Hist_Financials'!D6,0)+'Scenario_Library'!F30/10000))))*(MAX(0,IFERROR('Hist_Financials'!D28/'Hist_Financials'!D7*365,0)+'Scenario_Library'!K30))/365,0))-'Hist_Financials'!D28 ))-('Hist_Financials'!D36*(1-'Scenario_Library'!P30))</f>
        <v/>
      </c>
      <c r="K27" s="221">
        <f>MAX(0,'Hist_Financials'!D20+((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-(MAX(0,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)*'Scenario_Library'!V30))+'Hist_Financials'!D12+('Hist_Financials'!D24*'Scenario_Library'!S30)+('Hist_Financials'!D25*'Scenario_Library'!T30)-( (('Hist_Financials'!D6*(1+'Scenario_Library'!E30))*(MAX(0,IFERROR('Hist_Financials'!D21/'Hist_Financials'!D6*365,0)+'Scenario_Library'!I30))/365)-'Hist_Financials'!D21 )-( (IFERROR(('Hist_Financials'!D6*(1+'Scenario_Library'!E30))*(1-(MAX(-0.5,MIN(0.9,IFERROR('Hist_Financials'!D8/'Hist_Financials'!D6,0)+'Scenario_Library'!F30/10000))))*(MAX(0,IFERROR('Hist_Financials'!D22/'Hist_Financials'!D7*365,0)+'Scenario_Library'!J30))/365,0))-'Hist_Financials'!D22 )+( (IFERROR(('Hist_Financials'!D6*(1+'Scenario_Library'!E30))*(1-(MAX(-0.5,MIN(0.9,IFERROR('Hist_Financials'!D8/'Hist_Financials'!D6,0)+'Scenario_Library'!F30/10000))))*(MAX(0,IFERROR('Hist_Financials'!D28/'Hist_Financials'!D7*365,0)+'Scenario_Library'!K30))/365,0))-'Hist_Financials'!D28 ))-('Hist_Financials'!D36*(1-'Scenario_Library'!P30))-('Hist_Financials'!D37*(1-'Scenario_Library'!Q30))-('Hist_Financials'!D38*(1-'Scenario_Library'!R30))-('Hist_Financials'!D27*(1-'Scenario_Library'!M30))-('Hist_Financials'!D30*'Scenario_Library'!N30*(1-'Scenario_Library'!O30)))</f>
        <v/>
      </c>
      <c r="L27" s="222">
        <f>IF('Hist_Financials'!D6=0,"",IFERROR(( (('Hist_Financials'!D27-('Hist_Financials'!D27*(1-'Scenario_Library'!M30)))+('Hist_Financials'!D30-('Hist_Financials'!D30*'Scenario_Library'!N30*(1-'Scenario_Library'!O30))))-(MAX(0,'Hist_Financials'!D20+((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-(MAX(0,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)*'Scenario_Library'!V30))+'Hist_Financials'!D12+('Hist_Financials'!D24*'Scenario_Library'!S30)+('Hist_Financials'!D25*'Scenario_Library'!T30)-( (('Hist_Financials'!D6*(1+'Scenario_Library'!E30))*(MAX(0,IFERROR('Hist_Financials'!D21/'Hist_Financials'!D6*365,0)+'Scenario_Library'!I30))/365)-'Hist_Financials'!D21 )-( (IFERROR(('Hist_Financials'!D6*(1+'Scenario_Library'!E30))*(1-(MAX(-0.5,MIN(0.9,IFERROR('Hist_Financials'!D8/'Hist_Financials'!D6,0)+'Scenario_Library'!F30/10000))))*(MAX(0,IFERROR('Hist_Financials'!D22/'Hist_Financials'!D7*365,0)+'Scenario_Library'!J30))/365,0))-'Hist_Financials'!D22 )+( (IFERROR(('Hist_Financials'!D6*(1+'Scenario_Library'!E30))*(1-(MAX(-0.5,MIN(0.9,IFERROR('Hist_Financials'!D8/'Hist_Financials'!D6,0)+'Scenario_Library'!F30/10000))))*(MAX(0,IFERROR('Hist_Financials'!D28/'Hist_Financials'!D7*365,0)+'Scenario_Library'!K30))/365,0))-'Hist_Financials'!D28 ))-('Hist_Financials'!D36*(1-'Scenario_Library'!P30))-('Hist_Financials'!D37*(1-'Scenario_Library'!Q30))-('Hist_Financials'!D38*(1-'Scenario_Library'!R30))-('Hist_Financials'!D27*(1-'Scenario_Library'!M30))-('Hist_Financials'!D30*'Scenario_Library'!N30*(1-'Scenario_Library'!O30)))) )/MAX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,0.01),99))</f>
        <v/>
      </c>
      <c r="M27" s="222">
        <f>IF('Hist_Financials'!D6=0,"",IFERROR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/MAX(((MAX(0,IFERROR('Hist_Financials'!D14/MAX('Hist_Financials'!D27+'Hist_Financials'!D30,1),0)+'Scenario_Library'!L30/10000))*('Hist_Financials'!D27+'Hist_Financials'!D30)),0.01),999))</f>
        <v/>
      </c>
      <c r="N27" s="218">
        <f>IF('Hist_Financials'!D6=0,"— NO DATA —",IF(OR((IFERROR(( (('Hist_Financials'!D27-('Hist_Financials'!D27*(1-'Scenario_Library'!M30)))+('Hist_Financials'!D30-('Hist_Financials'!D30*'Scenario_Library'!N30*(1-'Scenario_Library'!O30))))-(MAX(0,'Hist_Financials'!D20+((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-(MAX(0,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)*'Scenario_Library'!V30))+'Hist_Financials'!D12+('Hist_Financials'!D24*'Scenario_Library'!S30)+('Hist_Financials'!D25*'Scenario_Library'!T30)-( (('Hist_Financials'!D6*(1+'Scenario_Library'!E30))*(MAX(0,IFERROR('Hist_Financials'!D21/'Hist_Financials'!D6*365,0)+'Scenario_Library'!I30))/365)-'Hist_Financials'!D21 )-( (IFERROR(('Hist_Financials'!D6*(1+'Scenario_Library'!E30))*(1-(MAX(-0.5,MIN(0.9,IFERROR('Hist_Financials'!D8/'Hist_Financials'!D6,0)+'Scenario_Library'!F30/10000))))*(MAX(0,IFERROR('Hist_Financials'!D22/'Hist_Financials'!D7*365,0)+'Scenario_Library'!J30))/365,0))-'Hist_Financials'!D22 )+( (IFERROR(('Hist_Financials'!D6*(1+'Scenario_Library'!E30))*(1-(MAX(-0.5,MIN(0.9,IFERROR('Hist_Financials'!D8/'Hist_Financials'!D6,0)+'Scenario_Library'!F30/10000))))*(MAX(0,IFERROR('Hist_Financials'!D28/'Hist_Financials'!D7*365,0)+'Scenario_Library'!K30))/365,0))-'Hist_Financials'!D28 ))-('Hist_Financials'!D36*(1-'Scenario_Library'!P30))-('Hist_Financials'!D37*(1-'Scenario_Library'!Q30))-('Hist_Financials'!D38*(1-'Scenario_Library'!R30))-('Hist_Financials'!D27*(1-'Scenario_Library'!M30))-('Hist_Financials'!D30*'Scenario_Library'!N30*(1-'Scenario_Library'!O30)))) )/MAX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,0.01),99))&gt;'Scenario_Setup'!B13,(IFERROR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/MAX(((MAX(0,IFERROR('Hist_Financials'!D14/MAX('Hist_Financials'!D27+'Hist_Financials'!D30,1),0)+'Scenario_Library'!L30/10000))*('Hist_Financials'!D27+'Hist_Financials'!D30)),0.01),999))&lt;'Scenario_Setup'!B12,('Hist_Financials'!D32+(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-(MAX(0,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)*'Scenario_Library'!V30))-('Hist_Financials'!D37*(1-'Scenario_Library'!Q30))-('Hist_Financials'!D38*(1-'Scenario_Library'!R30)))&lt;0,(((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-(MAX(0,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)*'Scenario_Library'!V30))+'Hist_Financials'!D12+('Hist_Financials'!D24*'Scenario_Library'!S30)+('Hist_Financials'!D25*'Scenario_Library'!T30)-( (('Hist_Financials'!D6*(1+'Scenario_Library'!E30))*(MAX(0,IFERROR('Hist_Financials'!D21/'Hist_Financials'!D6*365,0)+'Scenario_Library'!I30))/365)-'Hist_Financials'!D21 )-( (IFERROR(('Hist_Financials'!D6*(1+'Scenario_Library'!E30))*(1-(MAX(-0.5,MIN(0.9,IFERROR('Hist_Financials'!D8/'Hist_Financials'!D6,0)+'Scenario_Library'!F30/10000))))*(MAX(0,IFERROR('Hist_Financials'!D22/'Hist_Financials'!D7*365,0)+'Scenario_Library'!J30))/365,0))-'Hist_Financials'!D22 )+( (IFERROR(('Hist_Financials'!D6*(1+'Scenario_Library'!E30))*(1-(MAX(-0.5,MIN(0.9,IFERROR('Hist_Financials'!D8/'Hist_Financials'!D6,0)+'Scenario_Library'!F30/10000))))*(MAX(0,IFERROR('Hist_Financials'!D28/'Hist_Financials'!D7*365,0)+'Scenario_Library'!K30))/365,0))-'Hist_Financials'!D28 ))-('Hist_Financials'!D36*(1-'Scenario_Library'!P30)))&lt;-0.2*'Hist_Financials'!D6),"CRITICAL",IF(AND((((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-(MAX(0,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)*'Scenario_Library'!V30))+'Hist_Financials'!D12+('Hist_Financials'!D24*'Scenario_Library'!S30)+('Hist_Financials'!D25*'Scenario_Library'!T30)-( (('Hist_Financials'!D6*(1+'Scenario_Library'!E30))*(MAX(0,IFERROR('Hist_Financials'!D21/'Hist_Financials'!D6*365,0)+'Scenario_Library'!I30))/365)-'Hist_Financials'!D21 )-( (IFERROR(('Hist_Financials'!D6*(1+'Scenario_Library'!E30))*(1-(MAX(-0.5,MIN(0.9,IFERROR('Hist_Financials'!D8/'Hist_Financials'!D6,0)+'Scenario_Library'!F30/10000))))*(MAX(0,IFERROR('Hist_Financials'!D22/'Hist_Financials'!D7*365,0)+'Scenario_Library'!J30))/365,0))-'Hist_Financials'!D22 )+( (IFERROR(('Hist_Financials'!D6*(1+'Scenario_Library'!E30))*(1-(MAX(-0.5,MIN(0.9,IFERROR('Hist_Financials'!D8/'Hist_Financials'!D6,0)+'Scenario_Library'!F30/10000))))*(MAX(0,IFERROR('Hist_Financials'!D28/'Hist_Financials'!D7*365,0)+'Scenario_Library'!K30))/365,0))-'Hist_Financials'!D28 ))-('Hist_Financials'!D36*(1-'Scenario_Library'!P30)))&gt;=0,(IFERROR(( (('Hist_Financials'!D27-('Hist_Financials'!D27*(1-'Scenario_Library'!M30)))+('Hist_Financials'!D30-('Hist_Financials'!D30*'Scenario_Library'!N30*(1-'Scenario_Library'!O30))))-(MAX(0,'Hist_Financials'!D20+((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-(MAX(0,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)*'Scenario_Library'!V30))+'Hist_Financials'!D12+('Hist_Financials'!D24*'Scenario_Library'!S30)+('Hist_Financials'!D25*'Scenario_Library'!T30)-( (('Hist_Financials'!D6*(1+'Scenario_Library'!E30))*(MAX(0,IFERROR('Hist_Financials'!D21/'Hist_Financials'!D6*365,0)+'Scenario_Library'!I30))/365)-'Hist_Financials'!D21 )-( (IFERROR(('Hist_Financials'!D6*(1+'Scenario_Library'!E30))*(1-(MAX(-0.5,MIN(0.9,IFERROR('Hist_Financials'!D8/'Hist_Financials'!D6,0)+'Scenario_Library'!F30/10000))))*(MAX(0,IFERROR('Hist_Financials'!D22/'Hist_Financials'!D7*365,0)+'Scenario_Library'!J30))/365,0))-'Hist_Financials'!D22 )+( (IFERROR(('Hist_Financials'!D6*(1+'Scenario_Library'!E30))*(1-(MAX(-0.5,MIN(0.9,IFERROR('Hist_Financials'!D8/'Hist_Financials'!D6,0)+'Scenario_Library'!F30/10000))))*(MAX(0,IFERROR('Hist_Financials'!D28/'Hist_Financials'!D7*365,0)+'Scenario_Library'!K30))/365,0))-'Hist_Financials'!D28 ))-('Hist_Financials'!D36*(1-'Scenario_Library'!P30))-('Hist_Financials'!D37*(1-'Scenario_Library'!Q30))-('Hist_Financials'!D38*(1-'Scenario_Library'!R30))-('Hist_Financials'!D27*(1-'Scenario_Library'!M30))-('Hist_Financials'!D30*'Scenario_Library'!N30*(1-'Scenario_Library'!O30)))) )/MAX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,0.01),99))&lt;3,(IFERROR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/MAX(((MAX(0,IFERROR('Hist_Financials'!D14/MAX('Hist_Financials'!D27+'Hist_Financials'!D30,1),0)+'Scenario_Library'!L30/10000))*('Hist_Financials'!D27+'Hist_Financials'!D30)),0.01),999))&gt;='Scenario_Setup'!B12,('Hist_Financials'!D32+(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-(MAX(0,((((('Hist_Financials'!D6*(1+'Scenario_Library'!E30))*(MAX(-0.5,MIN(0.9,IFERROR('Hist_Financials'!D8/'Hist_Financials'!D6,0)+'Scenario_Library'!F30/10000))))-(MAX(0,'Hist_Financials'!D9*(1+'Scenario_Setup'!B9*('Scenario_Library'!E30)+('Scenario_Library'!G30))))-(MAX(0,'Hist_Financials'!D10*(1+'Scenario_Library'!H30))))-'Hist_Financials'!D12)-((MAX(0,IFERROR('Hist_Financials'!D14/MAX('Hist_Financials'!D27+'Hist_Financials'!D30,1),0)+'Scenario_Library'!L30/10000))*('Hist_Financials'!D27+'Hist_Financials'!D30))-('Hist_Financials'!D24*'Scenario_Library'!S30)-('Hist_Financials'!D25*'Scenario_Library'!T30)-('Hist_Financials'!D6*'Scenario_Library'!U30)))*'Scenario_Library'!V30))-('Hist_Financials'!D37*(1-'Scenario_Library'!Q30))-('Hist_Financials'!D38*(1-'Scenario_Library'!R30)))&gt;0),"RESILIENT","WATCH")))</f>
        <v/>
      </c>
    </row>
    <row r="28" ht="17" customHeight="1" s="28">
      <c r="B28" s="223">
        <f>'Scenario_Library'!A31</f>
        <v/>
      </c>
      <c r="C28" s="224" t="inlineStr">
        <is>
          <t>Light</t>
        </is>
      </c>
      <c r="D28" s="225">
        <f>'Hist_Financials'!D6*(1+'Scenario_Library'!E31)</f>
        <v/>
      </c>
      <c r="E28" s="226">
        <f>('Hist_Financials'!D6*(1+'Scenario_Library'!E31))-'Hist_Financials'!D6</f>
        <v/>
      </c>
      <c r="F28" s="227">
        <f>IFERROR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/('Hist_Financials'!D6*(1+'Scenario_Library'!E31)),0)</f>
        <v/>
      </c>
      <c r="G28" s="225">
        <f>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</f>
        <v/>
      </c>
      <c r="H28" s="226">
        <f>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11</f>
        <v/>
      </c>
      <c r="I28" s="225">
        <f>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-(MAX(0,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)*'Scenario_Library'!V31)</f>
        <v/>
      </c>
      <c r="J28" s="225">
        <f>((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-(MAX(0,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)*'Scenario_Library'!V31))+'Hist_Financials'!D12+('Hist_Financials'!D24*'Scenario_Library'!S31)+('Hist_Financials'!D25*'Scenario_Library'!T31)-( (('Hist_Financials'!D6*(1+'Scenario_Library'!E31))*(MAX(0,IFERROR('Hist_Financials'!D21/'Hist_Financials'!D6*365,0)+'Scenario_Library'!I31))/365)-'Hist_Financials'!D21 )-( (IFERROR(('Hist_Financials'!D6*(1+'Scenario_Library'!E31))*(1-(MAX(-0.5,MIN(0.9,IFERROR('Hist_Financials'!D8/'Hist_Financials'!D6,0)+'Scenario_Library'!F31/10000))))*(MAX(0,IFERROR('Hist_Financials'!D22/'Hist_Financials'!D7*365,0)+'Scenario_Library'!J31))/365,0))-'Hist_Financials'!D22 )+( (IFERROR(('Hist_Financials'!D6*(1+'Scenario_Library'!E31))*(1-(MAX(-0.5,MIN(0.9,IFERROR('Hist_Financials'!D8/'Hist_Financials'!D6,0)+'Scenario_Library'!F31/10000))))*(MAX(0,IFERROR('Hist_Financials'!D28/'Hist_Financials'!D7*365,0)+'Scenario_Library'!K31))/365,0))-'Hist_Financials'!D28 ))-('Hist_Financials'!D36*(1-'Scenario_Library'!P31))</f>
        <v/>
      </c>
      <c r="K28" s="225">
        <f>MAX(0,'Hist_Financials'!D20+((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-(MAX(0,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)*'Scenario_Library'!V31))+'Hist_Financials'!D12+('Hist_Financials'!D24*'Scenario_Library'!S31)+('Hist_Financials'!D25*'Scenario_Library'!T31)-( (('Hist_Financials'!D6*(1+'Scenario_Library'!E31))*(MAX(0,IFERROR('Hist_Financials'!D21/'Hist_Financials'!D6*365,0)+'Scenario_Library'!I31))/365)-'Hist_Financials'!D21 )-( (IFERROR(('Hist_Financials'!D6*(1+'Scenario_Library'!E31))*(1-(MAX(-0.5,MIN(0.9,IFERROR('Hist_Financials'!D8/'Hist_Financials'!D6,0)+'Scenario_Library'!F31/10000))))*(MAX(0,IFERROR('Hist_Financials'!D22/'Hist_Financials'!D7*365,0)+'Scenario_Library'!J31))/365,0))-'Hist_Financials'!D22 )+( (IFERROR(('Hist_Financials'!D6*(1+'Scenario_Library'!E31))*(1-(MAX(-0.5,MIN(0.9,IFERROR('Hist_Financials'!D8/'Hist_Financials'!D6,0)+'Scenario_Library'!F31/10000))))*(MAX(0,IFERROR('Hist_Financials'!D28/'Hist_Financials'!D7*365,0)+'Scenario_Library'!K31))/365,0))-'Hist_Financials'!D28 ))-('Hist_Financials'!D36*(1-'Scenario_Library'!P31))-('Hist_Financials'!D37*(1-'Scenario_Library'!Q31))-('Hist_Financials'!D38*(1-'Scenario_Library'!R31))-('Hist_Financials'!D27*(1-'Scenario_Library'!M31))-('Hist_Financials'!D30*'Scenario_Library'!N31*(1-'Scenario_Library'!O31)))</f>
        <v/>
      </c>
      <c r="L28" s="228">
        <f>IF('Hist_Financials'!D6=0,"",IFERROR(( (('Hist_Financials'!D27-('Hist_Financials'!D27*(1-'Scenario_Library'!M31)))+('Hist_Financials'!D30-('Hist_Financials'!D30*'Scenario_Library'!N31*(1-'Scenario_Library'!O31))))-(MAX(0,'Hist_Financials'!D20+((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-(MAX(0,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)*'Scenario_Library'!V31))+'Hist_Financials'!D12+('Hist_Financials'!D24*'Scenario_Library'!S31)+('Hist_Financials'!D25*'Scenario_Library'!T31)-( (('Hist_Financials'!D6*(1+'Scenario_Library'!E31))*(MAX(0,IFERROR('Hist_Financials'!D21/'Hist_Financials'!D6*365,0)+'Scenario_Library'!I31))/365)-'Hist_Financials'!D21 )-( (IFERROR(('Hist_Financials'!D6*(1+'Scenario_Library'!E31))*(1-(MAX(-0.5,MIN(0.9,IFERROR('Hist_Financials'!D8/'Hist_Financials'!D6,0)+'Scenario_Library'!F31/10000))))*(MAX(0,IFERROR('Hist_Financials'!D22/'Hist_Financials'!D7*365,0)+'Scenario_Library'!J31))/365,0))-'Hist_Financials'!D22 )+( (IFERROR(('Hist_Financials'!D6*(1+'Scenario_Library'!E31))*(1-(MAX(-0.5,MIN(0.9,IFERROR('Hist_Financials'!D8/'Hist_Financials'!D6,0)+'Scenario_Library'!F31/10000))))*(MAX(0,IFERROR('Hist_Financials'!D28/'Hist_Financials'!D7*365,0)+'Scenario_Library'!K31))/365,0))-'Hist_Financials'!D28 ))-('Hist_Financials'!D36*(1-'Scenario_Library'!P31))-('Hist_Financials'!D37*(1-'Scenario_Library'!Q31))-('Hist_Financials'!D38*(1-'Scenario_Library'!R31))-('Hist_Financials'!D27*(1-'Scenario_Library'!M31))-('Hist_Financials'!D30*'Scenario_Library'!N31*(1-'Scenario_Library'!O31)))) )/MAX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,0.01),99))</f>
        <v/>
      </c>
      <c r="M28" s="228">
        <f>IF('Hist_Financials'!D6=0,"",IFERROR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/MAX(((MAX(0,IFERROR('Hist_Financials'!D14/MAX('Hist_Financials'!D27+'Hist_Financials'!D30,1),0)+'Scenario_Library'!L31/10000))*('Hist_Financials'!D27+'Hist_Financials'!D30)),0.01),999))</f>
        <v/>
      </c>
      <c r="N28" s="229">
        <f>IF('Hist_Financials'!D6=0,"— NO DATA —",IF(OR((IFERROR(( (('Hist_Financials'!D27-('Hist_Financials'!D27*(1-'Scenario_Library'!M31)))+('Hist_Financials'!D30-('Hist_Financials'!D30*'Scenario_Library'!N31*(1-'Scenario_Library'!O31))))-(MAX(0,'Hist_Financials'!D20+((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-(MAX(0,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)*'Scenario_Library'!V31))+'Hist_Financials'!D12+('Hist_Financials'!D24*'Scenario_Library'!S31)+('Hist_Financials'!D25*'Scenario_Library'!T31)-( (('Hist_Financials'!D6*(1+'Scenario_Library'!E31))*(MAX(0,IFERROR('Hist_Financials'!D21/'Hist_Financials'!D6*365,0)+'Scenario_Library'!I31))/365)-'Hist_Financials'!D21 )-( (IFERROR(('Hist_Financials'!D6*(1+'Scenario_Library'!E31))*(1-(MAX(-0.5,MIN(0.9,IFERROR('Hist_Financials'!D8/'Hist_Financials'!D6,0)+'Scenario_Library'!F31/10000))))*(MAX(0,IFERROR('Hist_Financials'!D22/'Hist_Financials'!D7*365,0)+'Scenario_Library'!J31))/365,0))-'Hist_Financials'!D22 )+( (IFERROR(('Hist_Financials'!D6*(1+'Scenario_Library'!E31))*(1-(MAX(-0.5,MIN(0.9,IFERROR('Hist_Financials'!D8/'Hist_Financials'!D6,0)+'Scenario_Library'!F31/10000))))*(MAX(0,IFERROR('Hist_Financials'!D28/'Hist_Financials'!D7*365,0)+'Scenario_Library'!K31))/365,0))-'Hist_Financials'!D28 ))-('Hist_Financials'!D36*(1-'Scenario_Library'!P31))-('Hist_Financials'!D37*(1-'Scenario_Library'!Q31))-('Hist_Financials'!D38*(1-'Scenario_Library'!R31))-('Hist_Financials'!D27*(1-'Scenario_Library'!M31))-('Hist_Financials'!D30*'Scenario_Library'!N31*(1-'Scenario_Library'!O31)))) )/MAX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,0.01),99))&gt;'Scenario_Setup'!B13,(IFERROR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/MAX(((MAX(0,IFERROR('Hist_Financials'!D14/MAX('Hist_Financials'!D27+'Hist_Financials'!D30,1),0)+'Scenario_Library'!L31/10000))*('Hist_Financials'!D27+'Hist_Financials'!D30)),0.01),999))&lt;'Scenario_Setup'!B12,('Hist_Financials'!D32+(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-(MAX(0,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)*'Scenario_Library'!V31))-('Hist_Financials'!D37*(1-'Scenario_Library'!Q31))-('Hist_Financials'!D38*(1-'Scenario_Library'!R31)))&lt;0,(((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-(MAX(0,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)*'Scenario_Library'!V31))+'Hist_Financials'!D12+('Hist_Financials'!D24*'Scenario_Library'!S31)+('Hist_Financials'!D25*'Scenario_Library'!T31)-( (('Hist_Financials'!D6*(1+'Scenario_Library'!E31))*(MAX(0,IFERROR('Hist_Financials'!D21/'Hist_Financials'!D6*365,0)+'Scenario_Library'!I31))/365)-'Hist_Financials'!D21 )-( (IFERROR(('Hist_Financials'!D6*(1+'Scenario_Library'!E31))*(1-(MAX(-0.5,MIN(0.9,IFERROR('Hist_Financials'!D8/'Hist_Financials'!D6,0)+'Scenario_Library'!F31/10000))))*(MAX(0,IFERROR('Hist_Financials'!D22/'Hist_Financials'!D7*365,0)+'Scenario_Library'!J31))/365,0))-'Hist_Financials'!D22 )+( (IFERROR(('Hist_Financials'!D6*(1+'Scenario_Library'!E31))*(1-(MAX(-0.5,MIN(0.9,IFERROR('Hist_Financials'!D8/'Hist_Financials'!D6,0)+'Scenario_Library'!F31/10000))))*(MAX(0,IFERROR('Hist_Financials'!D28/'Hist_Financials'!D7*365,0)+'Scenario_Library'!K31))/365,0))-'Hist_Financials'!D28 ))-('Hist_Financials'!D36*(1-'Scenario_Library'!P31)))&lt;-0.2*'Hist_Financials'!D6),"CRITICAL",IF(AND((((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-(MAX(0,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)*'Scenario_Library'!V31))+'Hist_Financials'!D12+('Hist_Financials'!D24*'Scenario_Library'!S31)+('Hist_Financials'!D25*'Scenario_Library'!T31)-( (('Hist_Financials'!D6*(1+'Scenario_Library'!E31))*(MAX(0,IFERROR('Hist_Financials'!D21/'Hist_Financials'!D6*365,0)+'Scenario_Library'!I31))/365)-'Hist_Financials'!D21 )-( (IFERROR(('Hist_Financials'!D6*(1+'Scenario_Library'!E31))*(1-(MAX(-0.5,MIN(0.9,IFERROR('Hist_Financials'!D8/'Hist_Financials'!D6,0)+'Scenario_Library'!F31/10000))))*(MAX(0,IFERROR('Hist_Financials'!D22/'Hist_Financials'!D7*365,0)+'Scenario_Library'!J31))/365,0))-'Hist_Financials'!D22 )+( (IFERROR(('Hist_Financials'!D6*(1+'Scenario_Library'!E31))*(1-(MAX(-0.5,MIN(0.9,IFERROR('Hist_Financials'!D8/'Hist_Financials'!D6,0)+'Scenario_Library'!F31/10000))))*(MAX(0,IFERROR('Hist_Financials'!D28/'Hist_Financials'!D7*365,0)+'Scenario_Library'!K31))/365,0))-'Hist_Financials'!D28 ))-('Hist_Financials'!D36*(1-'Scenario_Library'!P31)))&gt;=0,(IFERROR(( (('Hist_Financials'!D27-('Hist_Financials'!D27*(1-'Scenario_Library'!M31)))+('Hist_Financials'!D30-('Hist_Financials'!D30*'Scenario_Library'!N31*(1-'Scenario_Library'!O31))))-(MAX(0,'Hist_Financials'!D20+((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-(MAX(0,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)*'Scenario_Library'!V31))+'Hist_Financials'!D12+('Hist_Financials'!D24*'Scenario_Library'!S31)+('Hist_Financials'!D25*'Scenario_Library'!T31)-( (('Hist_Financials'!D6*(1+'Scenario_Library'!E31))*(MAX(0,IFERROR('Hist_Financials'!D21/'Hist_Financials'!D6*365,0)+'Scenario_Library'!I31))/365)-'Hist_Financials'!D21 )-( (IFERROR(('Hist_Financials'!D6*(1+'Scenario_Library'!E31))*(1-(MAX(-0.5,MIN(0.9,IFERROR('Hist_Financials'!D8/'Hist_Financials'!D6,0)+'Scenario_Library'!F31/10000))))*(MAX(0,IFERROR('Hist_Financials'!D22/'Hist_Financials'!D7*365,0)+'Scenario_Library'!J31))/365,0))-'Hist_Financials'!D22 )+( (IFERROR(('Hist_Financials'!D6*(1+'Scenario_Library'!E31))*(1-(MAX(-0.5,MIN(0.9,IFERROR('Hist_Financials'!D8/'Hist_Financials'!D6,0)+'Scenario_Library'!F31/10000))))*(MAX(0,IFERROR('Hist_Financials'!D28/'Hist_Financials'!D7*365,0)+'Scenario_Library'!K31))/365,0))-'Hist_Financials'!D28 ))-('Hist_Financials'!D36*(1-'Scenario_Library'!P31))-('Hist_Financials'!D37*(1-'Scenario_Library'!Q31))-('Hist_Financials'!D38*(1-'Scenario_Library'!R31))-('Hist_Financials'!D27*(1-'Scenario_Library'!M31))-('Hist_Financials'!D30*'Scenario_Library'!N31*(1-'Scenario_Library'!O31)))) )/MAX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,0.01),99))&lt;3,(IFERROR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/MAX(((MAX(0,IFERROR('Hist_Financials'!D14/MAX('Hist_Financials'!D27+'Hist_Financials'!D30,1),0)+'Scenario_Library'!L31/10000))*('Hist_Financials'!D27+'Hist_Financials'!D30)),0.01),999))&gt;='Scenario_Setup'!B12,('Hist_Financials'!D32+(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-(MAX(0,((((('Hist_Financials'!D6*(1+'Scenario_Library'!E31))*(MAX(-0.5,MIN(0.9,IFERROR('Hist_Financials'!D8/'Hist_Financials'!D6,0)+'Scenario_Library'!F31/10000))))-(MAX(0,'Hist_Financials'!D9*(1+'Scenario_Setup'!B9*('Scenario_Library'!E31)+('Scenario_Library'!G31))))-(MAX(0,'Hist_Financials'!D10*(1+'Scenario_Library'!H31))))-'Hist_Financials'!D12)-((MAX(0,IFERROR('Hist_Financials'!D14/MAX('Hist_Financials'!D27+'Hist_Financials'!D30,1),0)+'Scenario_Library'!L31/10000))*('Hist_Financials'!D27+'Hist_Financials'!D30))-('Hist_Financials'!D24*'Scenario_Library'!S31)-('Hist_Financials'!D25*'Scenario_Library'!T31)-('Hist_Financials'!D6*'Scenario_Library'!U31)))*'Scenario_Library'!V31))-('Hist_Financials'!D37*(1-'Scenario_Library'!Q31))-('Hist_Financials'!D38*(1-'Scenario_Library'!R31)))&gt;0),"RESILIENT","WATCH")))</f>
        <v/>
      </c>
    </row>
    <row r="29" ht="17" customHeight="1" s="28">
      <c r="B29" s="230">
        <f>'Scenario_Library'!A32</f>
        <v/>
      </c>
      <c r="C29" s="231" t="inlineStr">
        <is>
          <t>Base</t>
        </is>
      </c>
      <c r="D29" s="215">
        <f>'Hist_Financials'!D6*(1+'Scenario_Library'!E32)</f>
        <v/>
      </c>
      <c r="E29" s="213">
        <f>('Hist_Financials'!D6*(1+'Scenario_Library'!E32))-'Hist_Financials'!D6</f>
        <v/>
      </c>
      <c r="F29" s="214">
        <f>IFERROR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/('Hist_Financials'!D6*(1+'Scenario_Library'!E32)),0)</f>
        <v/>
      </c>
      <c r="G29" s="215">
        <f>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</f>
        <v/>
      </c>
      <c r="H29" s="213">
        <f>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11</f>
        <v/>
      </c>
      <c r="I29" s="215">
        <f>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-(MAX(0,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)*'Scenario_Library'!V32)</f>
        <v/>
      </c>
      <c r="J29" s="215">
        <f>((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-(MAX(0,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)*'Scenario_Library'!V32))+'Hist_Financials'!D12+('Hist_Financials'!D24*'Scenario_Library'!S32)+('Hist_Financials'!D25*'Scenario_Library'!T32)-( (('Hist_Financials'!D6*(1+'Scenario_Library'!E32))*(MAX(0,IFERROR('Hist_Financials'!D21/'Hist_Financials'!D6*365,0)+'Scenario_Library'!I32))/365)-'Hist_Financials'!D21 )-( (IFERROR(('Hist_Financials'!D6*(1+'Scenario_Library'!E32))*(1-(MAX(-0.5,MIN(0.9,IFERROR('Hist_Financials'!D8/'Hist_Financials'!D6,0)+'Scenario_Library'!F32/10000))))*(MAX(0,IFERROR('Hist_Financials'!D22/'Hist_Financials'!D7*365,0)+'Scenario_Library'!J32))/365,0))-'Hist_Financials'!D22 )+( (IFERROR(('Hist_Financials'!D6*(1+'Scenario_Library'!E32))*(1-(MAX(-0.5,MIN(0.9,IFERROR('Hist_Financials'!D8/'Hist_Financials'!D6,0)+'Scenario_Library'!F32/10000))))*(MAX(0,IFERROR('Hist_Financials'!D28/'Hist_Financials'!D7*365,0)+'Scenario_Library'!K32))/365,0))-'Hist_Financials'!D28 ))-('Hist_Financials'!D36*(1-'Scenario_Library'!P32))</f>
        <v/>
      </c>
      <c r="K29" s="215">
        <f>MAX(0,'Hist_Financials'!D20+((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-(MAX(0,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)*'Scenario_Library'!V32))+'Hist_Financials'!D12+('Hist_Financials'!D24*'Scenario_Library'!S32)+('Hist_Financials'!D25*'Scenario_Library'!T32)-( (('Hist_Financials'!D6*(1+'Scenario_Library'!E32))*(MAX(0,IFERROR('Hist_Financials'!D21/'Hist_Financials'!D6*365,0)+'Scenario_Library'!I32))/365)-'Hist_Financials'!D21 )-( (IFERROR(('Hist_Financials'!D6*(1+'Scenario_Library'!E32))*(1-(MAX(-0.5,MIN(0.9,IFERROR('Hist_Financials'!D8/'Hist_Financials'!D6,0)+'Scenario_Library'!F32/10000))))*(MAX(0,IFERROR('Hist_Financials'!D22/'Hist_Financials'!D7*365,0)+'Scenario_Library'!J32))/365,0))-'Hist_Financials'!D22 )+( (IFERROR(('Hist_Financials'!D6*(1+'Scenario_Library'!E32))*(1-(MAX(-0.5,MIN(0.9,IFERROR('Hist_Financials'!D8/'Hist_Financials'!D6,0)+'Scenario_Library'!F32/10000))))*(MAX(0,IFERROR('Hist_Financials'!D28/'Hist_Financials'!D7*365,0)+'Scenario_Library'!K32))/365,0))-'Hist_Financials'!D28 ))-('Hist_Financials'!D36*(1-'Scenario_Library'!P32))-('Hist_Financials'!D37*(1-'Scenario_Library'!Q32))-('Hist_Financials'!D38*(1-'Scenario_Library'!R32))-('Hist_Financials'!D27*(1-'Scenario_Library'!M32))-('Hist_Financials'!D30*'Scenario_Library'!N32*(1-'Scenario_Library'!O32)))</f>
        <v/>
      </c>
      <c r="L29" s="216">
        <f>IF('Hist_Financials'!D6=0,"",IFERROR(( (('Hist_Financials'!D27-('Hist_Financials'!D27*(1-'Scenario_Library'!M32)))+('Hist_Financials'!D30-('Hist_Financials'!D30*'Scenario_Library'!N32*(1-'Scenario_Library'!O32))))-(MAX(0,'Hist_Financials'!D20+((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-(MAX(0,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)*'Scenario_Library'!V32))+'Hist_Financials'!D12+('Hist_Financials'!D24*'Scenario_Library'!S32)+('Hist_Financials'!D25*'Scenario_Library'!T32)-( (('Hist_Financials'!D6*(1+'Scenario_Library'!E32))*(MAX(0,IFERROR('Hist_Financials'!D21/'Hist_Financials'!D6*365,0)+'Scenario_Library'!I32))/365)-'Hist_Financials'!D21 )-( (IFERROR(('Hist_Financials'!D6*(1+'Scenario_Library'!E32))*(1-(MAX(-0.5,MIN(0.9,IFERROR('Hist_Financials'!D8/'Hist_Financials'!D6,0)+'Scenario_Library'!F32/10000))))*(MAX(0,IFERROR('Hist_Financials'!D22/'Hist_Financials'!D7*365,0)+'Scenario_Library'!J32))/365,0))-'Hist_Financials'!D22 )+( (IFERROR(('Hist_Financials'!D6*(1+'Scenario_Library'!E32))*(1-(MAX(-0.5,MIN(0.9,IFERROR('Hist_Financials'!D8/'Hist_Financials'!D6,0)+'Scenario_Library'!F32/10000))))*(MAX(0,IFERROR('Hist_Financials'!D28/'Hist_Financials'!D7*365,0)+'Scenario_Library'!K32))/365,0))-'Hist_Financials'!D28 ))-('Hist_Financials'!D36*(1-'Scenario_Library'!P32))-('Hist_Financials'!D37*(1-'Scenario_Library'!Q32))-('Hist_Financials'!D38*(1-'Scenario_Library'!R32))-('Hist_Financials'!D27*(1-'Scenario_Library'!M32))-('Hist_Financials'!D30*'Scenario_Library'!N32*(1-'Scenario_Library'!O32)))) )/MAX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,0.01),99))</f>
        <v/>
      </c>
      <c r="M29" s="216">
        <f>IF('Hist_Financials'!D6=0,"",IFERROR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/MAX(((MAX(0,IFERROR('Hist_Financials'!D14/MAX('Hist_Financials'!D27+'Hist_Financials'!D30,1),0)+'Scenario_Library'!L32/10000))*('Hist_Financials'!D27+'Hist_Financials'!D30)),0.01),999))</f>
        <v/>
      </c>
      <c r="N29" s="212">
        <f>IF('Hist_Financials'!D6=0,"— NO DATA —",IF(OR((IFERROR(( (('Hist_Financials'!D27-('Hist_Financials'!D27*(1-'Scenario_Library'!M32)))+('Hist_Financials'!D30-('Hist_Financials'!D30*'Scenario_Library'!N32*(1-'Scenario_Library'!O32))))-(MAX(0,'Hist_Financials'!D20+((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-(MAX(0,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)*'Scenario_Library'!V32))+'Hist_Financials'!D12+('Hist_Financials'!D24*'Scenario_Library'!S32)+('Hist_Financials'!D25*'Scenario_Library'!T32)-( (('Hist_Financials'!D6*(1+'Scenario_Library'!E32))*(MAX(0,IFERROR('Hist_Financials'!D21/'Hist_Financials'!D6*365,0)+'Scenario_Library'!I32))/365)-'Hist_Financials'!D21 )-( (IFERROR(('Hist_Financials'!D6*(1+'Scenario_Library'!E32))*(1-(MAX(-0.5,MIN(0.9,IFERROR('Hist_Financials'!D8/'Hist_Financials'!D6,0)+'Scenario_Library'!F32/10000))))*(MAX(0,IFERROR('Hist_Financials'!D22/'Hist_Financials'!D7*365,0)+'Scenario_Library'!J32))/365,0))-'Hist_Financials'!D22 )+( (IFERROR(('Hist_Financials'!D6*(1+'Scenario_Library'!E32))*(1-(MAX(-0.5,MIN(0.9,IFERROR('Hist_Financials'!D8/'Hist_Financials'!D6,0)+'Scenario_Library'!F32/10000))))*(MAX(0,IFERROR('Hist_Financials'!D28/'Hist_Financials'!D7*365,0)+'Scenario_Library'!K32))/365,0))-'Hist_Financials'!D28 ))-('Hist_Financials'!D36*(1-'Scenario_Library'!P32))-('Hist_Financials'!D37*(1-'Scenario_Library'!Q32))-('Hist_Financials'!D38*(1-'Scenario_Library'!R32))-('Hist_Financials'!D27*(1-'Scenario_Library'!M32))-('Hist_Financials'!D30*'Scenario_Library'!N32*(1-'Scenario_Library'!O32)))) )/MAX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,0.01),99))&gt;'Scenario_Setup'!B13,(IFERROR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/MAX(((MAX(0,IFERROR('Hist_Financials'!D14/MAX('Hist_Financials'!D27+'Hist_Financials'!D30,1),0)+'Scenario_Library'!L32/10000))*('Hist_Financials'!D27+'Hist_Financials'!D30)),0.01),999))&lt;'Scenario_Setup'!B12,('Hist_Financials'!D32+(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-(MAX(0,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)*'Scenario_Library'!V32))-('Hist_Financials'!D37*(1-'Scenario_Library'!Q32))-('Hist_Financials'!D38*(1-'Scenario_Library'!R32)))&lt;0,(((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-(MAX(0,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)*'Scenario_Library'!V32))+'Hist_Financials'!D12+('Hist_Financials'!D24*'Scenario_Library'!S32)+('Hist_Financials'!D25*'Scenario_Library'!T32)-( (('Hist_Financials'!D6*(1+'Scenario_Library'!E32))*(MAX(0,IFERROR('Hist_Financials'!D21/'Hist_Financials'!D6*365,0)+'Scenario_Library'!I32))/365)-'Hist_Financials'!D21 )-( (IFERROR(('Hist_Financials'!D6*(1+'Scenario_Library'!E32))*(1-(MAX(-0.5,MIN(0.9,IFERROR('Hist_Financials'!D8/'Hist_Financials'!D6,0)+'Scenario_Library'!F32/10000))))*(MAX(0,IFERROR('Hist_Financials'!D22/'Hist_Financials'!D7*365,0)+'Scenario_Library'!J32))/365,0))-'Hist_Financials'!D22 )+( (IFERROR(('Hist_Financials'!D6*(1+'Scenario_Library'!E32))*(1-(MAX(-0.5,MIN(0.9,IFERROR('Hist_Financials'!D8/'Hist_Financials'!D6,0)+'Scenario_Library'!F32/10000))))*(MAX(0,IFERROR('Hist_Financials'!D28/'Hist_Financials'!D7*365,0)+'Scenario_Library'!K32))/365,0))-'Hist_Financials'!D28 ))-('Hist_Financials'!D36*(1-'Scenario_Library'!P32)))&lt;-0.2*'Hist_Financials'!D6),"CRITICAL",IF(AND((((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-(MAX(0,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)*'Scenario_Library'!V32))+'Hist_Financials'!D12+('Hist_Financials'!D24*'Scenario_Library'!S32)+('Hist_Financials'!D25*'Scenario_Library'!T32)-( (('Hist_Financials'!D6*(1+'Scenario_Library'!E32))*(MAX(0,IFERROR('Hist_Financials'!D21/'Hist_Financials'!D6*365,0)+'Scenario_Library'!I32))/365)-'Hist_Financials'!D21 )-( (IFERROR(('Hist_Financials'!D6*(1+'Scenario_Library'!E32))*(1-(MAX(-0.5,MIN(0.9,IFERROR('Hist_Financials'!D8/'Hist_Financials'!D6,0)+'Scenario_Library'!F32/10000))))*(MAX(0,IFERROR('Hist_Financials'!D22/'Hist_Financials'!D7*365,0)+'Scenario_Library'!J32))/365,0))-'Hist_Financials'!D22 )+( (IFERROR(('Hist_Financials'!D6*(1+'Scenario_Library'!E32))*(1-(MAX(-0.5,MIN(0.9,IFERROR('Hist_Financials'!D8/'Hist_Financials'!D6,0)+'Scenario_Library'!F32/10000))))*(MAX(0,IFERROR('Hist_Financials'!D28/'Hist_Financials'!D7*365,0)+'Scenario_Library'!K32))/365,0))-'Hist_Financials'!D28 ))-('Hist_Financials'!D36*(1-'Scenario_Library'!P32)))&gt;=0,(IFERROR(( (('Hist_Financials'!D27-('Hist_Financials'!D27*(1-'Scenario_Library'!M32)))+('Hist_Financials'!D30-('Hist_Financials'!D30*'Scenario_Library'!N32*(1-'Scenario_Library'!O32))))-(MAX(0,'Hist_Financials'!D20+((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-(MAX(0,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)*'Scenario_Library'!V32))+'Hist_Financials'!D12+('Hist_Financials'!D24*'Scenario_Library'!S32)+('Hist_Financials'!D25*'Scenario_Library'!T32)-( (('Hist_Financials'!D6*(1+'Scenario_Library'!E32))*(MAX(0,IFERROR('Hist_Financials'!D21/'Hist_Financials'!D6*365,0)+'Scenario_Library'!I32))/365)-'Hist_Financials'!D21 )-( (IFERROR(('Hist_Financials'!D6*(1+'Scenario_Library'!E32))*(1-(MAX(-0.5,MIN(0.9,IFERROR('Hist_Financials'!D8/'Hist_Financials'!D6,0)+'Scenario_Library'!F32/10000))))*(MAX(0,IFERROR('Hist_Financials'!D22/'Hist_Financials'!D7*365,0)+'Scenario_Library'!J32))/365,0))-'Hist_Financials'!D22 )+( (IFERROR(('Hist_Financials'!D6*(1+'Scenario_Library'!E32))*(1-(MAX(-0.5,MIN(0.9,IFERROR('Hist_Financials'!D8/'Hist_Financials'!D6,0)+'Scenario_Library'!F32/10000))))*(MAX(0,IFERROR('Hist_Financials'!D28/'Hist_Financials'!D7*365,0)+'Scenario_Library'!K32))/365,0))-'Hist_Financials'!D28 ))-('Hist_Financials'!D36*(1-'Scenario_Library'!P32))-('Hist_Financials'!D37*(1-'Scenario_Library'!Q32))-('Hist_Financials'!D38*(1-'Scenario_Library'!R32))-('Hist_Financials'!D27*(1-'Scenario_Library'!M32))-('Hist_Financials'!D30*'Scenario_Library'!N32*(1-'Scenario_Library'!O32)))) )/MAX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,0.01),99))&lt;3,(IFERROR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/MAX(((MAX(0,IFERROR('Hist_Financials'!D14/MAX('Hist_Financials'!D27+'Hist_Financials'!D30,1),0)+'Scenario_Library'!L32/10000))*('Hist_Financials'!D27+'Hist_Financials'!D30)),0.01),999))&gt;='Scenario_Setup'!B12,('Hist_Financials'!D32+(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-(MAX(0,((((('Hist_Financials'!D6*(1+'Scenario_Library'!E32))*(MAX(-0.5,MIN(0.9,IFERROR('Hist_Financials'!D8/'Hist_Financials'!D6,0)+'Scenario_Library'!F32/10000))))-(MAX(0,'Hist_Financials'!D9*(1+'Scenario_Setup'!B9*('Scenario_Library'!E32)+('Scenario_Library'!G32))))-(MAX(0,'Hist_Financials'!D10*(1+'Scenario_Library'!H32))))-'Hist_Financials'!D12)-((MAX(0,IFERROR('Hist_Financials'!D14/MAX('Hist_Financials'!D27+'Hist_Financials'!D30,1),0)+'Scenario_Library'!L32/10000))*('Hist_Financials'!D27+'Hist_Financials'!D30))-('Hist_Financials'!D24*'Scenario_Library'!S32)-('Hist_Financials'!D25*'Scenario_Library'!T32)-('Hist_Financials'!D6*'Scenario_Library'!U32)))*'Scenario_Library'!V32))-('Hist_Financials'!D37*(1-'Scenario_Library'!Q32))-('Hist_Financials'!D38*(1-'Scenario_Library'!R32)))&gt;0),"RESILIENT","WATCH")))</f>
        <v/>
      </c>
    </row>
    <row r="30" ht="17" customHeight="1" s="28">
      <c r="B30" s="230">
        <f>'Scenario_Library'!A33</f>
        <v/>
      </c>
      <c r="C30" s="232" t="inlineStr">
        <is>
          <t>Severe</t>
        </is>
      </c>
      <c r="D30" s="221">
        <f>'Hist_Financials'!D6*(1+'Scenario_Library'!E33)</f>
        <v/>
      </c>
      <c r="E30" s="219">
        <f>('Hist_Financials'!D6*(1+'Scenario_Library'!E33))-'Hist_Financials'!D6</f>
        <v/>
      </c>
      <c r="F30" s="220">
        <f>IFERROR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/('Hist_Financials'!D6*(1+'Scenario_Library'!E33)),0)</f>
        <v/>
      </c>
      <c r="G30" s="221">
        <f>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</f>
        <v/>
      </c>
      <c r="H30" s="219">
        <f>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11</f>
        <v/>
      </c>
      <c r="I30" s="221">
        <f>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-(MAX(0,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)*'Scenario_Library'!V33)</f>
        <v/>
      </c>
      <c r="J30" s="221">
        <f>((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-(MAX(0,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)*'Scenario_Library'!V33))+'Hist_Financials'!D12+('Hist_Financials'!D24*'Scenario_Library'!S33)+('Hist_Financials'!D25*'Scenario_Library'!T33)-( (('Hist_Financials'!D6*(1+'Scenario_Library'!E33))*(MAX(0,IFERROR('Hist_Financials'!D21/'Hist_Financials'!D6*365,0)+'Scenario_Library'!I33))/365)-'Hist_Financials'!D21 )-( (IFERROR(('Hist_Financials'!D6*(1+'Scenario_Library'!E33))*(1-(MAX(-0.5,MIN(0.9,IFERROR('Hist_Financials'!D8/'Hist_Financials'!D6,0)+'Scenario_Library'!F33/10000))))*(MAX(0,IFERROR('Hist_Financials'!D22/'Hist_Financials'!D7*365,0)+'Scenario_Library'!J33))/365,0))-'Hist_Financials'!D22 )+( (IFERROR(('Hist_Financials'!D6*(1+'Scenario_Library'!E33))*(1-(MAX(-0.5,MIN(0.9,IFERROR('Hist_Financials'!D8/'Hist_Financials'!D6,0)+'Scenario_Library'!F33/10000))))*(MAX(0,IFERROR('Hist_Financials'!D28/'Hist_Financials'!D7*365,0)+'Scenario_Library'!K33))/365,0))-'Hist_Financials'!D28 ))-('Hist_Financials'!D36*(1-'Scenario_Library'!P33))</f>
        <v/>
      </c>
      <c r="K30" s="221">
        <f>MAX(0,'Hist_Financials'!D20+((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-(MAX(0,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)*'Scenario_Library'!V33))+'Hist_Financials'!D12+('Hist_Financials'!D24*'Scenario_Library'!S33)+('Hist_Financials'!D25*'Scenario_Library'!T33)-( (('Hist_Financials'!D6*(1+'Scenario_Library'!E33))*(MAX(0,IFERROR('Hist_Financials'!D21/'Hist_Financials'!D6*365,0)+'Scenario_Library'!I33))/365)-'Hist_Financials'!D21 )-( (IFERROR(('Hist_Financials'!D6*(1+'Scenario_Library'!E33))*(1-(MAX(-0.5,MIN(0.9,IFERROR('Hist_Financials'!D8/'Hist_Financials'!D6,0)+'Scenario_Library'!F33/10000))))*(MAX(0,IFERROR('Hist_Financials'!D22/'Hist_Financials'!D7*365,0)+'Scenario_Library'!J33))/365,0))-'Hist_Financials'!D22 )+( (IFERROR(('Hist_Financials'!D6*(1+'Scenario_Library'!E33))*(1-(MAX(-0.5,MIN(0.9,IFERROR('Hist_Financials'!D8/'Hist_Financials'!D6,0)+'Scenario_Library'!F33/10000))))*(MAX(0,IFERROR('Hist_Financials'!D28/'Hist_Financials'!D7*365,0)+'Scenario_Library'!K33))/365,0))-'Hist_Financials'!D28 ))-('Hist_Financials'!D36*(1-'Scenario_Library'!P33))-('Hist_Financials'!D37*(1-'Scenario_Library'!Q33))-('Hist_Financials'!D38*(1-'Scenario_Library'!R33))-('Hist_Financials'!D27*(1-'Scenario_Library'!M33))-('Hist_Financials'!D30*'Scenario_Library'!N33*(1-'Scenario_Library'!O33)))</f>
        <v/>
      </c>
      <c r="L30" s="222">
        <f>IF('Hist_Financials'!D6=0,"",IFERROR(( (('Hist_Financials'!D27-('Hist_Financials'!D27*(1-'Scenario_Library'!M33)))+('Hist_Financials'!D30-('Hist_Financials'!D30*'Scenario_Library'!N33*(1-'Scenario_Library'!O33))))-(MAX(0,'Hist_Financials'!D20+((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-(MAX(0,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)*'Scenario_Library'!V33))+'Hist_Financials'!D12+('Hist_Financials'!D24*'Scenario_Library'!S33)+('Hist_Financials'!D25*'Scenario_Library'!T33)-( (('Hist_Financials'!D6*(1+'Scenario_Library'!E33))*(MAX(0,IFERROR('Hist_Financials'!D21/'Hist_Financials'!D6*365,0)+'Scenario_Library'!I33))/365)-'Hist_Financials'!D21 )-( (IFERROR(('Hist_Financials'!D6*(1+'Scenario_Library'!E33))*(1-(MAX(-0.5,MIN(0.9,IFERROR('Hist_Financials'!D8/'Hist_Financials'!D6,0)+'Scenario_Library'!F33/10000))))*(MAX(0,IFERROR('Hist_Financials'!D22/'Hist_Financials'!D7*365,0)+'Scenario_Library'!J33))/365,0))-'Hist_Financials'!D22 )+( (IFERROR(('Hist_Financials'!D6*(1+'Scenario_Library'!E33))*(1-(MAX(-0.5,MIN(0.9,IFERROR('Hist_Financials'!D8/'Hist_Financials'!D6,0)+'Scenario_Library'!F33/10000))))*(MAX(0,IFERROR('Hist_Financials'!D28/'Hist_Financials'!D7*365,0)+'Scenario_Library'!K33))/365,0))-'Hist_Financials'!D28 ))-('Hist_Financials'!D36*(1-'Scenario_Library'!P33))-('Hist_Financials'!D37*(1-'Scenario_Library'!Q33))-('Hist_Financials'!D38*(1-'Scenario_Library'!R33))-('Hist_Financials'!D27*(1-'Scenario_Library'!M33))-('Hist_Financials'!D30*'Scenario_Library'!N33*(1-'Scenario_Library'!O33)))) )/MAX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,0.01),99))</f>
        <v/>
      </c>
      <c r="M30" s="222">
        <f>IF('Hist_Financials'!D6=0,"",IFERROR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/MAX(((MAX(0,IFERROR('Hist_Financials'!D14/MAX('Hist_Financials'!D27+'Hist_Financials'!D30,1),0)+'Scenario_Library'!L33/10000))*('Hist_Financials'!D27+'Hist_Financials'!D30)),0.01),999))</f>
        <v/>
      </c>
      <c r="N30" s="218">
        <f>IF('Hist_Financials'!D6=0,"— NO DATA —",IF(OR((IFERROR(( (('Hist_Financials'!D27-('Hist_Financials'!D27*(1-'Scenario_Library'!M33)))+('Hist_Financials'!D30-('Hist_Financials'!D30*'Scenario_Library'!N33*(1-'Scenario_Library'!O33))))-(MAX(0,'Hist_Financials'!D20+((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-(MAX(0,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)*'Scenario_Library'!V33))+'Hist_Financials'!D12+('Hist_Financials'!D24*'Scenario_Library'!S33)+('Hist_Financials'!D25*'Scenario_Library'!T33)-( (('Hist_Financials'!D6*(1+'Scenario_Library'!E33))*(MAX(0,IFERROR('Hist_Financials'!D21/'Hist_Financials'!D6*365,0)+'Scenario_Library'!I33))/365)-'Hist_Financials'!D21 )-( (IFERROR(('Hist_Financials'!D6*(1+'Scenario_Library'!E33))*(1-(MAX(-0.5,MIN(0.9,IFERROR('Hist_Financials'!D8/'Hist_Financials'!D6,0)+'Scenario_Library'!F33/10000))))*(MAX(0,IFERROR('Hist_Financials'!D22/'Hist_Financials'!D7*365,0)+'Scenario_Library'!J33))/365,0))-'Hist_Financials'!D22 )+( (IFERROR(('Hist_Financials'!D6*(1+'Scenario_Library'!E33))*(1-(MAX(-0.5,MIN(0.9,IFERROR('Hist_Financials'!D8/'Hist_Financials'!D6,0)+'Scenario_Library'!F33/10000))))*(MAX(0,IFERROR('Hist_Financials'!D28/'Hist_Financials'!D7*365,0)+'Scenario_Library'!K33))/365,0))-'Hist_Financials'!D28 ))-('Hist_Financials'!D36*(1-'Scenario_Library'!P33))-('Hist_Financials'!D37*(1-'Scenario_Library'!Q33))-('Hist_Financials'!D38*(1-'Scenario_Library'!R33))-('Hist_Financials'!D27*(1-'Scenario_Library'!M33))-('Hist_Financials'!D30*'Scenario_Library'!N33*(1-'Scenario_Library'!O33)))) )/MAX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,0.01),99))&gt;'Scenario_Setup'!B13,(IFERROR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/MAX(((MAX(0,IFERROR('Hist_Financials'!D14/MAX('Hist_Financials'!D27+'Hist_Financials'!D30,1),0)+'Scenario_Library'!L33/10000))*('Hist_Financials'!D27+'Hist_Financials'!D30)),0.01),999))&lt;'Scenario_Setup'!B12,('Hist_Financials'!D32+(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-(MAX(0,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)*'Scenario_Library'!V33))-('Hist_Financials'!D37*(1-'Scenario_Library'!Q33))-('Hist_Financials'!D38*(1-'Scenario_Library'!R33)))&lt;0,(((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-(MAX(0,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)*'Scenario_Library'!V33))+'Hist_Financials'!D12+('Hist_Financials'!D24*'Scenario_Library'!S33)+('Hist_Financials'!D25*'Scenario_Library'!T33)-( (('Hist_Financials'!D6*(1+'Scenario_Library'!E33))*(MAX(0,IFERROR('Hist_Financials'!D21/'Hist_Financials'!D6*365,0)+'Scenario_Library'!I33))/365)-'Hist_Financials'!D21 )-( (IFERROR(('Hist_Financials'!D6*(1+'Scenario_Library'!E33))*(1-(MAX(-0.5,MIN(0.9,IFERROR('Hist_Financials'!D8/'Hist_Financials'!D6,0)+'Scenario_Library'!F33/10000))))*(MAX(0,IFERROR('Hist_Financials'!D22/'Hist_Financials'!D7*365,0)+'Scenario_Library'!J33))/365,0))-'Hist_Financials'!D22 )+( (IFERROR(('Hist_Financials'!D6*(1+'Scenario_Library'!E33))*(1-(MAX(-0.5,MIN(0.9,IFERROR('Hist_Financials'!D8/'Hist_Financials'!D6,0)+'Scenario_Library'!F33/10000))))*(MAX(0,IFERROR('Hist_Financials'!D28/'Hist_Financials'!D7*365,0)+'Scenario_Library'!K33))/365,0))-'Hist_Financials'!D28 ))-('Hist_Financials'!D36*(1-'Scenario_Library'!P33)))&lt;-0.2*'Hist_Financials'!D6),"CRITICAL",IF(AND((((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-(MAX(0,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)*'Scenario_Library'!V33))+'Hist_Financials'!D12+('Hist_Financials'!D24*'Scenario_Library'!S33)+('Hist_Financials'!D25*'Scenario_Library'!T33)-( (('Hist_Financials'!D6*(1+'Scenario_Library'!E33))*(MAX(0,IFERROR('Hist_Financials'!D21/'Hist_Financials'!D6*365,0)+'Scenario_Library'!I33))/365)-'Hist_Financials'!D21 )-( (IFERROR(('Hist_Financials'!D6*(1+'Scenario_Library'!E33))*(1-(MAX(-0.5,MIN(0.9,IFERROR('Hist_Financials'!D8/'Hist_Financials'!D6,0)+'Scenario_Library'!F33/10000))))*(MAX(0,IFERROR('Hist_Financials'!D22/'Hist_Financials'!D7*365,0)+'Scenario_Library'!J33))/365,0))-'Hist_Financials'!D22 )+( (IFERROR(('Hist_Financials'!D6*(1+'Scenario_Library'!E33))*(1-(MAX(-0.5,MIN(0.9,IFERROR('Hist_Financials'!D8/'Hist_Financials'!D6,0)+'Scenario_Library'!F33/10000))))*(MAX(0,IFERROR('Hist_Financials'!D28/'Hist_Financials'!D7*365,0)+'Scenario_Library'!K33))/365,0))-'Hist_Financials'!D28 ))-('Hist_Financials'!D36*(1-'Scenario_Library'!P33)))&gt;=0,(IFERROR(( (('Hist_Financials'!D27-('Hist_Financials'!D27*(1-'Scenario_Library'!M33)))+('Hist_Financials'!D30-('Hist_Financials'!D30*'Scenario_Library'!N33*(1-'Scenario_Library'!O33))))-(MAX(0,'Hist_Financials'!D20+((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-(MAX(0,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)*'Scenario_Library'!V33))+'Hist_Financials'!D12+('Hist_Financials'!D24*'Scenario_Library'!S33)+('Hist_Financials'!D25*'Scenario_Library'!T33)-( (('Hist_Financials'!D6*(1+'Scenario_Library'!E33))*(MAX(0,IFERROR('Hist_Financials'!D21/'Hist_Financials'!D6*365,0)+'Scenario_Library'!I33))/365)-'Hist_Financials'!D21 )-( (IFERROR(('Hist_Financials'!D6*(1+'Scenario_Library'!E33))*(1-(MAX(-0.5,MIN(0.9,IFERROR('Hist_Financials'!D8/'Hist_Financials'!D6,0)+'Scenario_Library'!F33/10000))))*(MAX(0,IFERROR('Hist_Financials'!D22/'Hist_Financials'!D7*365,0)+'Scenario_Library'!J33))/365,0))-'Hist_Financials'!D22 )+( (IFERROR(('Hist_Financials'!D6*(1+'Scenario_Library'!E33))*(1-(MAX(-0.5,MIN(0.9,IFERROR('Hist_Financials'!D8/'Hist_Financials'!D6,0)+'Scenario_Library'!F33/10000))))*(MAX(0,IFERROR('Hist_Financials'!D28/'Hist_Financials'!D7*365,0)+'Scenario_Library'!K33))/365,0))-'Hist_Financials'!D28 ))-('Hist_Financials'!D36*(1-'Scenario_Library'!P33))-('Hist_Financials'!D37*(1-'Scenario_Library'!Q33))-('Hist_Financials'!D38*(1-'Scenario_Library'!R33))-('Hist_Financials'!D27*(1-'Scenario_Library'!M33))-('Hist_Financials'!D30*'Scenario_Library'!N33*(1-'Scenario_Library'!O33)))) )/MAX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,0.01),99))&lt;3,(IFERROR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/MAX(((MAX(0,IFERROR('Hist_Financials'!D14/MAX('Hist_Financials'!D27+'Hist_Financials'!D30,1),0)+'Scenario_Library'!L33/10000))*('Hist_Financials'!D27+'Hist_Financials'!D30)),0.01),999))&gt;='Scenario_Setup'!B12,('Hist_Financials'!D32+(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-(MAX(0,((((('Hist_Financials'!D6*(1+'Scenario_Library'!E33))*(MAX(-0.5,MIN(0.9,IFERROR('Hist_Financials'!D8/'Hist_Financials'!D6,0)+'Scenario_Library'!F33/10000))))-(MAX(0,'Hist_Financials'!D9*(1+'Scenario_Setup'!B9*('Scenario_Library'!E33)+('Scenario_Library'!G33))))-(MAX(0,'Hist_Financials'!D10*(1+'Scenario_Library'!H33))))-'Hist_Financials'!D12)-((MAX(0,IFERROR('Hist_Financials'!D14/MAX('Hist_Financials'!D27+'Hist_Financials'!D30,1),0)+'Scenario_Library'!L33/10000))*('Hist_Financials'!D27+'Hist_Financials'!D30))-('Hist_Financials'!D24*'Scenario_Library'!S33)-('Hist_Financials'!D25*'Scenario_Library'!T33)-('Hist_Financials'!D6*'Scenario_Library'!U33)))*'Scenario_Library'!V33))-('Hist_Financials'!D37*(1-'Scenario_Library'!Q33))-('Hist_Financials'!D38*(1-'Scenario_Library'!R33)))&gt;0),"RESILIENT","WATCH")))</f>
        <v/>
      </c>
    </row>
    <row r="31" ht="17" customHeight="1" s="28">
      <c r="B31" s="223">
        <f>'Scenario_Library'!A34</f>
        <v/>
      </c>
      <c r="C31" s="224" t="inlineStr">
        <is>
          <t>Light</t>
        </is>
      </c>
      <c r="D31" s="225">
        <f>'Hist_Financials'!D6*(1+'Scenario_Library'!E34)</f>
        <v/>
      </c>
      <c r="E31" s="226">
        <f>('Hist_Financials'!D6*(1+'Scenario_Library'!E34))-'Hist_Financials'!D6</f>
        <v/>
      </c>
      <c r="F31" s="227">
        <f>IFERROR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/('Hist_Financials'!D6*(1+'Scenario_Library'!E34)),0)</f>
        <v/>
      </c>
      <c r="G31" s="225">
        <f>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</f>
        <v/>
      </c>
      <c r="H31" s="226">
        <f>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11</f>
        <v/>
      </c>
      <c r="I31" s="225">
        <f>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-(MAX(0,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)*'Scenario_Library'!V34)</f>
        <v/>
      </c>
      <c r="J31" s="225">
        <f>((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-(MAX(0,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)*'Scenario_Library'!V34))+'Hist_Financials'!D12+('Hist_Financials'!D24*'Scenario_Library'!S34)+('Hist_Financials'!D25*'Scenario_Library'!T34)-( (('Hist_Financials'!D6*(1+'Scenario_Library'!E34))*(MAX(0,IFERROR('Hist_Financials'!D21/'Hist_Financials'!D6*365,0)+'Scenario_Library'!I34))/365)-'Hist_Financials'!D21 )-( (IFERROR(('Hist_Financials'!D6*(1+'Scenario_Library'!E34))*(1-(MAX(-0.5,MIN(0.9,IFERROR('Hist_Financials'!D8/'Hist_Financials'!D6,0)+'Scenario_Library'!F34/10000))))*(MAX(0,IFERROR('Hist_Financials'!D22/'Hist_Financials'!D7*365,0)+'Scenario_Library'!J34))/365,0))-'Hist_Financials'!D22 )+( (IFERROR(('Hist_Financials'!D6*(1+'Scenario_Library'!E34))*(1-(MAX(-0.5,MIN(0.9,IFERROR('Hist_Financials'!D8/'Hist_Financials'!D6,0)+'Scenario_Library'!F34/10000))))*(MAX(0,IFERROR('Hist_Financials'!D28/'Hist_Financials'!D7*365,0)+'Scenario_Library'!K34))/365,0))-'Hist_Financials'!D28 ))-('Hist_Financials'!D36*(1-'Scenario_Library'!P34))</f>
        <v/>
      </c>
      <c r="K31" s="225">
        <f>MAX(0,'Hist_Financials'!D20+((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-(MAX(0,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)*'Scenario_Library'!V34))+'Hist_Financials'!D12+('Hist_Financials'!D24*'Scenario_Library'!S34)+('Hist_Financials'!D25*'Scenario_Library'!T34)-( (('Hist_Financials'!D6*(1+'Scenario_Library'!E34))*(MAX(0,IFERROR('Hist_Financials'!D21/'Hist_Financials'!D6*365,0)+'Scenario_Library'!I34))/365)-'Hist_Financials'!D21 )-( (IFERROR(('Hist_Financials'!D6*(1+'Scenario_Library'!E34))*(1-(MAX(-0.5,MIN(0.9,IFERROR('Hist_Financials'!D8/'Hist_Financials'!D6,0)+'Scenario_Library'!F34/10000))))*(MAX(0,IFERROR('Hist_Financials'!D22/'Hist_Financials'!D7*365,0)+'Scenario_Library'!J34))/365,0))-'Hist_Financials'!D22 )+( (IFERROR(('Hist_Financials'!D6*(1+'Scenario_Library'!E34))*(1-(MAX(-0.5,MIN(0.9,IFERROR('Hist_Financials'!D8/'Hist_Financials'!D6,0)+'Scenario_Library'!F34/10000))))*(MAX(0,IFERROR('Hist_Financials'!D28/'Hist_Financials'!D7*365,0)+'Scenario_Library'!K34))/365,0))-'Hist_Financials'!D28 ))-('Hist_Financials'!D36*(1-'Scenario_Library'!P34))-('Hist_Financials'!D37*(1-'Scenario_Library'!Q34))-('Hist_Financials'!D38*(1-'Scenario_Library'!R34))-('Hist_Financials'!D27*(1-'Scenario_Library'!M34))-('Hist_Financials'!D30*'Scenario_Library'!N34*(1-'Scenario_Library'!O34)))</f>
        <v/>
      </c>
      <c r="L31" s="228">
        <f>IF('Hist_Financials'!D6=0,"",IFERROR(( (('Hist_Financials'!D27-('Hist_Financials'!D27*(1-'Scenario_Library'!M34)))+('Hist_Financials'!D30-('Hist_Financials'!D30*'Scenario_Library'!N34*(1-'Scenario_Library'!O34))))-(MAX(0,'Hist_Financials'!D20+((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-(MAX(0,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)*'Scenario_Library'!V34))+'Hist_Financials'!D12+('Hist_Financials'!D24*'Scenario_Library'!S34)+('Hist_Financials'!D25*'Scenario_Library'!T34)-( (('Hist_Financials'!D6*(1+'Scenario_Library'!E34))*(MAX(0,IFERROR('Hist_Financials'!D21/'Hist_Financials'!D6*365,0)+'Scenario_Library'!I34))/365)-'Hist_Financials'!D21 )-( (IFERROR(('Hist_Financials'!D6*(1+'Scenario_Library'!E34))*(1-(MAX(-0.5,MIN(0.9,IFERROR('Hist_Financials'!D8/'Hist_Financials'!D6,0)+'Scenario_Library'!F34/10000))))*(MAX(0,IFERROR('Hist_Financials'!D22/'Hist_Financials'!D7*365,0)+'Scenario_Library'!J34))/365,0))-'Hist_Financials'!D22 )+( (IFERROR(('Hist_Financials'!D6*(1+'Scenario_Library'!E34))*(1-(MAX(-0.5,MIN(0.9,IFERROR('Hist_Financials'!D8/'Hist_Financials'!D6,0)+'Scenario_Library'!F34/10000))))*(MAX(0,IFERROR('Hist_Financials'!D28/'Hist_Financials'!D7*365,0)+'Scenario_Library'!K34))/365,0))-'Hist_Financials'!D28 ))-('Hist_Financials'!D36*(1-'Scenario_Library'!P34))-('Hist_Financials'!D37*(1-'Scenario_Library'!Q34))-('Hist_Financials'!D38*(1-'Scenario_Library'!R34))-('Hist_Financials'!D27*(1-'Scenario_Library'!M34))-('Hist_Financials'!D30*'Scenario_Library'!N34*(1-'Scenario_Library'!O34)))) )/MAX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,0.01),99))</f>
        <v/>
      </c>
      <c r="M31" s="228">
        <f>IF('Hist_Financials'!D6=0,"",IFERROR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/MAX(((MAX(0,IFERROR('Hist_Financials'!D14/MAX('Hist_Financials'!D27+'Hist_Financials'!D30,1),0)+'Scenario_Library'!L34/10000))*('Hist_Financials'!D27+'Hist_Financials'!D30)),0.01),999))</f>
        <v/>
      </c>
      <c r="N31" s="229">
        <f>IF('Hist_Financials'!D6=0,"— NO DATA —",IF(OR((IFERROR(( (('Hist_Financials'!D27-('Hist_Financials'!D27*(1-'Scenario_Library'!M34)))+('Hist_Financials'!D30-('Hist_Financials'!D30*'Scenario_Library'!N34*(1-'Scenario_Library'!O34))))-(MAX(0,'Hist_Financials'!D20+((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-(MAX(0,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)*'Scenario_Library'!V34))+'Hist_Financials'!D12+('Hist_Financials'!D24*'Scenario_Library'!S34)+('Hist_Financials'!D25*'Scenario_Library'!T34)-( (('Hist_Financials'!D6*(1+'Scenario_Library'!E34))*(MAX(0,IFERROR('Hist_Financials'!D21/'Hist_Financials'!D6*365,0)+'Scenario_Library'!I34))/365)-'Hist_Financials'!D21 )-( (IFERROR(('Hist_Financials'!D6*(1+'Scenario_Library'!E34))*(1-(MAX(-0.5,MIN(0.9,IFERROR('Hist_Financials'!D8/'Hist_Financials'!D6,0)+'Scenario_Library'!F34/10000))))*(MAX(0,IFERROR('Hist_Financials'!D22/'Hist_Financials'!D7*365,0)+'Scenario_Library'!J34))/365,0))-'Hist_Financials'!D22 )+( (IFERROR(('Hist_Financials'!D6*(1+'Scenario_Library'!E34))*(1-(MAX(-0.5,MIN(0.9,IFERROR('Hist_Financials'!D8/'Hist_Financials'!D6,0)+'Scenario_Library'!F34/10000))))*(MAX(0,IFERROR('Hist_Financials'!D28/'Hist_Financials'!D7*365,0)+'Scenario_Library'!K34))/365,0))-'Hist_Financials'!D28 ))-('Hist_Financials'!D36*(1-'Scenario_Library'!P34))-('Hist_Financials'!D37*(1-'Scenario_Library'!Q34))-('Hist_Financials'!D38*(1-'Scenario_Library'!R34))-('Hist_Financials'!D27*(1-'Scenario_Library'!M34))-('Hist_Financials'!D30*'Scenario_Library'!N34*(1-'Scenario_Library'!O34)))) )/MAX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,0.01),99))&gt;'Scenario_Setup'!B13,(IFERROR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/MAX(((MAX(0,IFERROR('Hist_Financials'!D14/MAX('Hist_Financials'!D27+'Hist_Financials'!D30,1),0)+'Scenario_Library'!L34/10000))*('Hist_Financials'!D27+'Hist_Financials'!D30)),0.01),999))&lt;'Scenario_Setup'!B12,('Hist_Financials'!D32+(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-(MAX(0,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)*'Scenario_Library'!V34))-('Hist_Financials'!D37*(1-'Scenario_Library'!Q34))-('Hist_Financials'!D38*(1-'Scenario_Library'!R34)))&lt;0,(((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-(MAX(0,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)*'Scenario_Library'!V34))+'Hist_Financials'!D12+('Hist_Financials'!D24*'Scenario_Library'!S34)+('Hist_Financials'!D25*'Scenario_Library'!T34)-( (('Hist_Financials'!D6*(1+'Scenario_Library'!E34))*(MAX(0,IFERROR('Hist_Financials'!D21/'Hist_Financials'!D6*365,0)+'Scenario_Library'!I34))/365)-'Hist_Financials'!D21 )-( (IFERROR(('Hist_Financials'!D6*(1+'Scenario_Library'!E34))*(1-(MAX(-0.5,MIN(0.9,IFERROR('Hist_Financials'!D8/'Hist_Financials'!D6,0)+'Scenario_Library'!F34/10000))))*(MAX(0,IFERROR('Hist_Financials'!D22/'Hist_Financials'!D7*365,0)+'Scenario_Library'!J34))/365,0))-'Hist_Financials'!D22 )+( (IFERROR(('Hist_Financials'!D6*(1+'Scenario_Library'!E34))*(1-(MAX(-0.5,MIN(0.9,IFERROR('Hist_Financials'!D8/'Hist_Financials'!D6,0)+'Scenario_Library'!F34/10000))))*(MAX(0,IFERROR('Hist_Financials'!D28/'Hist_Financials'!D7*365,0)+'Scenario_Library'!K34))/365,0))-'Hist_Financials'!D28 ))-('Hist_Financials'!D36*(1-'Scenario_Library'!P34)))&lt;-0.2*'Hist_Financials'!D6),"CRITICAL",IF(AND((((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-(MAX(0,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)*'Scenario_Library'!V34))+'Hist_Financials'!D12+('Hist_Financials'!D24*'Scenario_Library'!S34)+('Hist_Financials'!D25*'Scenario_Library'!T34)-( (('Hist_Financials'!D6*(1+'Scenario_Library'!E34))*(MAX(0,IFERROR('Hist_Financials'!D21/'Hist_Financials'!D6*365,0)+'Scenario_Library'!I34))/365)-'Hist_Financials'!D21 )-( (IFERROR(('Hist_Financials'!D6*(1+'Scenario_Library'!E34))*(1-(MAX(-0.5,MIN(0.9,IFERROR('Hist_Financials'!D8/'Hist_Financials'!D6,0)+'Scenario_Library'!F34/10000))))*(MAX(0,IFERROR('Hist_Financials'!D22/'Hist_Financials'!D7*365,0)+'Scenario_Library'!J34))/365,0))-'Hist_Financials'!D22 )+( (IFERROR(('Hist_Financials'!D6*(1+'Scenario_Library'!E34))*(1-(MAX(-0.5,MIN(0.9,IFERROR('Hist_Financials'!D8/'Hist_Financials'!D6,0)+'Scenario_Library'!F34/10000))))*(MAX(0,IFERROR('Hist_Financials'!D28/'Hist_Financials'!D7*365,0)+'Scenario_Library'!K34))/365,0))-'Hist_Financials'!D28 ))-('Hist_Financials'!D36*(1-'Scenario_Library'!P34)))&gt;=0,(IFERROR(( (('Hist_Financials'!D27-('Hist_Financials'!D27*(1-'Scenario_Library'!M34)))+('Hist_Financials'!D30-('Hist_Financials'!D30*'Scenario_Library'!N34*(1-'Scenario_Library'!O34))))-(MAX(0,'Hist_Financials'!D20+((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-(MAX(0,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)*'Scenario_Library'!V34))+'Hist_Financials'!D12+('Hist_Financials'!D24*'Scenario_Library'!S34)+('Hist_Financials'!D25*'Scenario_Library'!T34)-( (('Hist_Financials'!D6*(1+'Scenario_Library'!E34))*(MAX(0,IFERROR('Hist_Financials'!D21/'Hist_Financials'!D6*365,0)+'Scenario_Library'!I34))/365)-'Hist_Financials'!D21 )-( (IFERROR(('Hist_Financials'!D6*(1+'Scenario_Library'!E34))*(1-(MAX(-0.5,MIN(0.9,IFERROR('Hist_Financials'!D8/'Hist_Financials'!D6,0)+'Scenario_Library'!F34/10000))))*(MAX(0,IFERROR('Hist_Financials'!D22/'Hist_Financials'!D7*365,0)+'Scenario_Library'!J34))/365,0))-'Hist_Financials'!D22 )+( (IFERROR(('Hist_Financials'!D6*(1+'Scenario_Library'!E34))*(1-(MAX(-0.5,MIN(0.9,IFERROR('Hist_Financials'!D8/'Hist_Financials'!D6,0)+'Scenario_Library'!F34/10000))))*(MAX(0,IFERROR('Hist_Financials'!D28/'Hist_Financials'!D7*365,0)+'Scenario_Library'!K34))/365,0))-'Hist_Financials'!D28 ))-('Hist_Financials'!D36*(1-'Scenario_Library'!P34))-('Hist_Financials'!D37*(1-'Scenario_Library'!Q34))-('Hist_Financials'!D38*(1-'Scenario_Library'!R34))-('Hist_Financials'!D27*(1-'Scenario_Library'!M34))-('Hist_Financials'!D30*'Scenario_Library'!N34*(1-'Scenario_Library'!O34)))) )/MAX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,0.01),99))&lt;3,(IFERROR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/MAX(((MAX(0,IFERROR('Hist_Financials'!D14/MAX('Hist_Financials'!D27+'Hist_Financials'!D30,1),0)+'Scenario_Library'!L34/10000))*('Hist_Financials'!D27+'Hist_Financials'!D30)),0.01),999))&gt;='Scenario_Setup'!B12,('Hist_Financials'!D32+(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-(MAX(0,((((('Hist_Financials'!D6*(1+'Scenario_Library'!E34))*(MAX(-0.5,MIN(0.9,IFERROR('Hist_Financials'!D8/'Hist_Financials'!D6,0)+'Scenario_Library'!F34/10000))))-(MAX(0,'Hist_Financials'!D9*(1+'Scenario_Setup'!B9*('Scenario_Library'!E34)+('Scenario_Library'!G34))))-(MAX(0,'Hist_Financials'!D10*(1+'Scenario_Library'!H34))))-'Hist_Financials'!D12)-((MAX(0,IFERROR('Hist_Financials'!D14/MAX('Hist_Financials'!D27+'Hist_Financials'!D30,1),0)+'Scenario_Library'!L34/10000))*('Hist_Financials'!D27+'Hist_Financials'!D30))-('Hist_Financials'!D24*'Scenario_Library'!S34)-('Hist_Financials'!D25*'Scenario_Library'!T34)-('Hist_Financials'!D6*'Scenario_Library'!U34)))*'Scenario_Library'!V34))-('Hist_Financials'!D37*(1-'Scenario_Library'!Q34))-('Hist_Financials'!D38*(1-'Scenario_Library'!R34)))&gt;0),"RESILIENT","WATCH")))</f>
        <v/>
      </c>
    </row>
    <row r="32" ht="17" customHeight="1" s="28">
      <c r="B32" s="230">
        <f>'Scenario_Library'!A35</f>
        <v/>
      </c>
      <c r="C32" s="231" t="inlineStr">
        <is>
          <t>Base</t>
        </is>
      </c>
      <c r="D32" s="215">
        <f>'Hist_Financials'!D6*(1+'Scenario_Library'!E35)</f>
        <v/>
      </c>
      <c r="E32" s="213">
        <f>('Hist_Financials'!D6*(1+'Scenario_Library'!E35))-'Hist_Financials'!D6</f>
        <v/>
      </c>
      <c r="F32" s="214">
        <f>IFERROR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/('Hist_Financials'!D6*(1+'Scenario_Library'!E35)),0)</f>
        <v/>
      </c>
      <c r="G32" s="215">
        <f>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</f>
        <v/>
      </c>
      <c r="H32" s="213">
        <f>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11</f>
        <v/>
      </c>
      <c r="I32" s="215">
        <f>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-(MAX(0,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)*'Scenario_Library'!V35)</f>
        <v/>
      </c>
      <c r="J32" s="215">
        <f>((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-(MAX(0,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)*'Scenario_Library'!V35))+'Hist_Financials'!D12+('Hist_Financials'!D24*'Scenario_Library'!S35)+('Hist_Financials'!D25*'Scenario_Library'!T35)-( (('Hist_Financials'!D6*(1+'Scenario_Library'!E35))*(MAX(0,IFERROR('Hist_Financials'!D21/'Hist_Financials'!D6*365,0)+'Scenario_Library'!I35))/365)-'Hist_Financials'!D21 )-( (IFERROR(('Hist_Financials'!D6*(1+'Scenario_Library'!E35))*(1-(MAX(-0.5,MIN(0.9,IFERROR('Hist_Financials'!D8/'Hist_Financials'!D6,0)+'Scenario_Library'!F35/10000))))*(MAX(0,IFERROR('Hist_Financials'!D22/'Hist_Financials'!D7*365,0)+'Scenario_Library'!J35))/365,0))-'Hist_Financials'!D22 )+( (IFERROR(('Hist_Financials'!D6*(1+'Scenario_Library'!E35))*(1-(MAX(-0.5,MIN(0.9,IFERROR('Hist_Financials'!D8/'Hist_Financials'!D6,0)+'Scenario_Library'!F35/10000))))*(MAX(0,IFERROR('Hist_Financials'!D28/'Hist_Financials'!D7*365,0)+'Scenario_Library'!K35))/365,0))-'Hist_Financials'!D28 ))-('Hist_Financials'!D36*(1-'Scenario_Library'!P35))</f>
        <v/>
      </c>
      <c r="K32" s="215">
        <f>MAX(0,'Hist_Financials'!D20+((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-(MAX(0,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)*'Scenario_Library'!V35))+'Hist_Financials'!D12+('Hist_Financials'!D24*'Scenario_Library'!S35)+('Hist_Financials'!D25*'Scenario_Library'!T35)-( (('Hist_Financials'!D6*(1+'Scenario_Library'!E35))*(MAX(0,IFERROR('Hist_Financials'!D21/'Hist_Financials'!D6*365,0)+'Scenario_Library'!I35))/365)-'Hist_Financials'!D21 )-( (IFERROR(('Hist_Financials'!D6*(1+'Scenario_Library'!E35))*(1-(MAX(-0.5,MIN(0.9,IFERROR('Hist_Financials'!D8/'Hist_Financials'!D6,0)+'Scenario_Library'!F35/10000))))*(MAX(0,IFERROR('Hist_Financials'!D22/'Hist_Financials'!D7*365,0)+'Scenario_Library'!J35))/365,0))-'Hist_Financials'!D22 )+( (IFERROR(('Hist_Financials'!D6*(1+'Scenario_Library'!E35))*(1-(MAX(-0.5,MIN(0.9,IFERROR('Hist_Financials'!D8/'Hist_Financials'!D6,0)+'Scenario_Library'!F35/10000))))*(MAX(0,IFERROR('Hist_Financials'!D28/'Hist_Financials'!D7*365,0)+'Scenario_Library'!K35))/365,0))-'Hist_Financials'!D28 ))-('Hist_Financials'!D36*(1-'Scenario_Library'!P35))-('Hist_Financials'!D37*(1-'Scenario_Library'!Q35))-('Hist_Financials'!D38*(1-'Scenario_Library'!R35))-('Hist_Financials'!D27*(1-'Scenario_Library'!M35))-('Hist_Financials'!D30*'Scenario_Library'!N35*(1-'Scenario_Library'!O35)))</f>
        <v/>
      </c>
      <c r="L32" s="216">
        <f>IF('Hist_Financials'!D6=0,"",IFERROR(( (('Hist_Financials'!D27-('Hist_Financials'!D27*(1-'Scenario_Library'!M35)))+('Hist_Financials'!D30-('Hist_Financials'!D30*'Scenario_Library'!N35*(1-'Scenario_Library'!O35))))-(MAX(0,'Hist_Financials'!D20+((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-(MAX(0,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)*'Scenario_Library'!V35))+'Hist_Financials'!D12+('Hist_Financials'!D24*'Scenario_Library'!S35)+('Hist_Financials'!D25*'Scenario_Library'!T35)-( (('Hist_Financials'!D6*(1+'Scenario_Library'!E35))*(MAX(0,IFERROR('Hist_Financials'!D21/'Hist_Financials'!D6*365,0)+'Scenario_Library'!I35))/365)-'Hist_Financials'!D21 )-( (IFERROR(('Hist_Financials'!D6*(1+'Scenario_Library'!E35))*(1-(MAX(-0.5,MIN(0.9,IFERROR('Hist_Financials'!D8/'Hist_Financials'!D6,0)+'Scenario_Library'!F35/10000))))*(MAX(0,IFERROR('Hist_Financials'!D22/'Hist_Financials'!D7*365,0)+'Scenario_Library'!J35))/365,0))-'Hist_Financials'!D22 )+( (IFERROR(('Hist_Financials'!D6*(1+'Scenario_Library'!E35))*(1-(MAX(-0.5,MIN(0.9,IFERROR('Hist_Financials'!D8/'Hist_Financials'!D6,0)+'Scenario_Library'!F35/10000))))*(MAX(0,IFERROR('Hist_Financials'!D28/'Hist_Financials'!D7*365,0)+'Scenario_Library'!K35))/365,0))-'Hist_Financials'!D28 ))-('Hist_Financials'!D36*(1-'Scenario_Library'!P35))-('Hist_Financials'!D37*(1-'Scenario_Library'!Q35))-('Hist_Financials'!D38*(1-'Scenario_Library'!R35))-('Hist_Financials'!D27*(1-'Scenario_Library'!M35))-('Hist_Financials'!D30*'Scenario_Library'!N35*(1-'Scenario_Library'!O35)))) )/MAX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,0.01),99))</f>
        <v/>
      </c>
      <c r="M32" s="216">
        <f>IF('Hist_Financials'!D6=0,"",IFERROR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/MAX(((MAX(0,IFERROR('Hist_Financials'!D14/MAX('Hist_Financials'!D27+'Hist_Financials'!D30,1),0)+'Scenario_Library'!L35/10000))*('Hist_Financials'!D27+'Hist_Financials'!D30)),0.01),999))</f>
        <v/>
      </c>
      <c r="N32" s="212">
        <f>IF('Hist_Financials'!D6=0,"— NO DATA —",IF(OR((IFERROR(( (('Hist_Financials'!D27-('Hist_Financials'!D27*(1-'Scenario_Library'!M35)))+('Hist_Financials'!D30-('Hist_Financials'!D30*'Scenario_Library'!N35*(1-'Scenario_Library'!O35))))-(MAX(0,'Hist_Financials'!D20+((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-(MAX(0,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)*'Scenario_Library'!V35))+'Hist_Financials'!D12+('Hist_Financials'!D24*'Scenario_Library'!S35)+('Hist_Financials'!D25*'Scenario_Library'!T35)-( (('Hist_Financials'!D6*(1+'Scenario_Library'!E35))*(MAX(0,IFERROR('Hist_Financials'!D21/'Hist_Financials'!D6*365,0)+'Scenario_Library'!I35))/365)-'Hist_Financials'!D21 )-( (IFERROR(('Hist_Financials'!D6*(1+'Scenario_Library'!E35))*(1-(MAX(-0.5,MIN(0.9,IFERROR('Hist_Financials'!D8/'Hist_Financials'!D6,0)+'Scenario_Library'!F35/10000))))*(MAX(0,IFERROR('Hist_Financials'!D22/'Hist_Financials'!D7*365,0)+'Scenario_Library'!J35))/365,0))-'Hist_Financials'!D22 )+( (IFERROR(('Hist_Financials'!D6*(1+'Scenario_Library'!E35))*(1-(MAX(-0.5,MIN(0.9,IFERROR('Hist_Financials'!D8/'Hist_Financials'!D6,0)+'Scenario_Library'!F35/10000))))*(MAX(0,IFERROR('Hist_Financials'!D28/'Hist_Financials'!D7*365,0)+'Scenario_Library'!K35))/365,0))-'Hist_Financials'!D28 ))-('Hist_Financials'!D36*(1-'Scenario_Library'!P35))-('Hist_Financials'!D37*(1-'Scenario_Library'!Q35))-('Hist_Financials'!D38*(1-'Scenario_Library'!R35))-('Hist_Financials'!D27*(1-'Scenario_Library'!M35))-('Hist_Financials'!D30*'Scenario_Library'!N35*(1-'Scenario_Library'!O35)))) )/MAX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,0.01),99))&gt;'Scenario_Setup'!B13,(IFERROR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/MAX(((MAX(0,IFERROR('Hist_Financials'!D14/MAX('Hist_Financials'!D27+'Hist_Financials'!D30,1),0)+'Scenario_Library'!L35/10000))*('Hist_Financials'!D27+'Hist_Financials'!D30)),0.01),999))&lt;'Scenario_Setup'!B12,('Hist_Financials'!D32+(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-(MAX(0,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)*'Scenario_Library'!V35))-('Hist_Financials'!D37*(1-'Scenario_Library'!Q35))-('Hist_Financials'!D38*(1-'Scenario_Library'!R35)))&lt;0,(((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-(MAX(0,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)*'Scenario_Library'!V35))+'Hist_Financials'!D12+('Hist_Financials'!D24*'Scenario_Library'!S35)+('Hist_Financials'!D25*'Scenario_Library'!T35)-( (('Hist_Financials'!D6*(1+'Scenario_Library'!E35))*(MAX(0,IFERROR('Hist_Financials'!D21/'Hist_Financials'!D6*365,0)+'Scenario_Library'!I35))/365)-'Hist_Financials'!D21 )-( (IFERROR(('Hist_Financials'!D6*(1+'Scenario_Library'!E35))*(1-(MAX(-0.5,MIN(0.9,IFERROR('Hist_Financials'!D8/'Hist_Financials'!D6,0)+'Scenario_Library'!F35/10000))))*(MAX(0,IFERROR('Hist_Financials'!D22/'Hist_Financials'!D7*365,0)+'Scenario_Library'!J35))/365,0))-'Hist_Financials'!D22 )+( (IFERROR(('Hist_Financials'!D6*(1+'Scenario_Library'!E35))*(1-(MAX(-0.5,MIN(0.9,IFERROR('Hist_Financials'!D8/'Hist_Financials'!D6,0)+'Scenario_Library'!F35/10000))))*(MAX(0,IFERROR('Hist_Financials'!D28/'Hist_Financials'!D7*365,0)+'Scenario_Library'!K35))/365,0))-'Hist_Financials'!D28 ))-('Hist_Financials'!D36*(1-'Scenario_Library'!P35)))&lt;-0.2*'Hist_Financials'!D6),"CRITICAL",IF(AND((((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-(MAX(0,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)*'Scenario_Library'!V35))+'Hist_Financials'!D12+('Hist_Financials'!D24*'Scenario_Library'!S35)+('Hist_Financials'!D25*'Scenario_Library'!T35)-( (('Hist_Financials'!D6*(1+'Scenario_Library'!E35))*(MAX(0,IFERROR('Hist_Financials'!D21/'Hist_Financials'!D6*365,0)+'Scenario_Library'!I35))/365)-'Hist_Financials'!D21 )-( (IFERROR(('Hist_Financials'!D6*(1+'Scenario_Library'!E35))*(1-(MAX(-0.5,MIN(0.9,IFERROR('Hist_Financials'!D8/'Hist_Financials'!D6,0)+'Scenario_Library'!F35/10000))))*(MAX(0,IFERROR('Hist_Financials'!D22/'Hist_Financials'!D7*365,0)+'Scenario_Library'!J35))/365,0))-'Hist_Financials'!D22 )+( (IFERROR(('Hist_Financials'!D6*(1+'Scenario_Library'!E35))*(1-(MAX(-0.5,MIN(0.9,IFERROR('Hist_Financials'!D8/'Hist_Financials'!D6,0)+'Scenario_Library'!F35/10000))))*(MAX(0,IFERROR('Hist_Financials'!D28/'Hist_Financials'!D7*365,0)+'Scenario_Library'!K35))/365,0))-'Hist_Financials'!D28 ))-('Hist_Financials'!D36*(1-'Scenario_Library'!P35)))&gt;=0,(IFERROR(( (('Hist_Financials'!D27-('Hist_Financials'!D27*(1-'Scenario_Library'!M35)))+('Hist_Financials'!D30-('Hist_Financials'!D30*'Scenario_Library'!N35*(1-'Scenario_Library'!O35))))-(MAX(0,'Hist_Financials'!D20+((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-(MAX(0,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)*'Scenario_Library'!V35))+'Hist_Financials'!D12+('Hist_Financials'!D24*'Scenario_Library'!S35)+('Hist_Financials'!D25*'Scenario_Library'!T35)-( (('Hist_Financials'!D6*(1+'Scenario_Library'!E35))*(MAX(0,IFERROR('Hist_Financials'!D21/'Hist_Financials'!D6*365,0)+'Scenario_Library'!I35))/365)-'Hist_Financials'!D21 )-( (IFERROR(('Hist_Financials'!D6*(1+'Scenario_Library'!E35))*(1-(MAX(-0.5,MIN(0.9,IFERROR('Hist_Financials'!D8/'Hist_Financials'!D6,0)+'Scenario_Library'!F35/10000))))*(MAX(0,IFERROR('Hist_Financials'!D22/'Hist_Financials'!D7*365,0)+'Scenario_Library'!J35))/365,0))-'Hist_Financials'!D22 )+( (IFERROR(('Hist_Financials'!D6*(1+'Scenario_Library'!E35))*(1-(MAX(-0.5,MIN(0.9,IFERROR('Hist_Financials'!D8/'Hist_Financials'!D6,0)+'Scenario_Library'!F35/10000))))*(MAX(0,IFERROR('Hist_Financials'!D28/'Hist_Financials'!D7*365,0)+'Scenario_Library'!K35))/365,0))-'Hist_Financials'!D28 ))-('Hist_Financials'!D36*(1-'Scenario_Library'!P35))-('Hist_Financials'!D37*(1-'Scenario_Library'!Q35))-('Hist_Financials'!D38*(1-'Scenario_Library'!R35))-('Hist_Financials'!D27*(1-'Scenario_Library'!M35))-('Hist_Financials'!D30*'Scenario_Library'!N35*(1-'Scenario_Library'!O35)))) )/MAX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,0.01),99))&lt;3,(IFERROR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/MAX(((MAX(0,IFERROR('Hist_Financials'!D14/MAX('Hist_Financials'!D27+'Hist_Financials'!D30,1),0)+'Scenario_Library'!L35/10000))*('Hist_Financials'!D27+'Hist_Financials'!D30)),0.01),999))&gt;='Scenario_Setup'!B12,('Hist_Financials'!D32+(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-(MAX(0,((((('Hist_Financials'!D6*(1+'Scenario_Library'!E35))*(MAX(-0.5,MIN(0.9,IFERROR('Hist_Financials'!D8/'Hist_Financials'!D6,0)+'Scenario_Library'!F35/10000))))-(MAX(0,'Hist_Financials'!D9*(1+'Scenario_Setup'!B9*('Scenario_Library'!E35)+('Scenario_Library'!G35))))-(MAX(0,'Hist_Financials'!D10*(1+'Scenario_Library'!H35))))-'Hist_Financials'!D12)-((MAX(0,IFERROR('Hist_Financials'!D14/MAX('Hist_Financials'!D27+'Hist_Financials'!D30,1),0)+'Scenario_Library'!L35/10000))*('Hist_Financials'!D27+'Hist_Financials'!D30))-('Hist_Financials'!D24*'Scenario_Library'!S35)-('Hist_Financials'!D25*'Scenario_Library'!T35)-('Hist_Financials'!D6*'Scenario_Library'!U35)))*'Scenario_Library'!V35))-('Hist_Financials'!D37*(1-'Scenario_Library'!Q35))-('Hist_Financials'!D38*(1-'Scenario_Library'!R35)))&gt;0),"RESILIENT","WATCH")))</f>
        <v/>
      </c>
    </row>
    <row r="33" ht="17" customHeight="1" s="28">
      <c r="B33" s="230">
        <f>'Scenario_Library'!A36</f>
        <v/>
      </c>
      <c r="C33" s="232" t="inlineStr">
        <is>
          <t>Severe</t>
        </is>
      </c>
      <c r="D33" s="221">
        <f>'Hist_Financials'!D6*(1+'Scenario_Library'!E36)</f>
        <v/>
      </c>
      <c r="E33" s="219">
        <f>('Hist_Financials'!D6*(1+'Scenario_Library'!E36))-'Hist_Financials'!D6</f>
        <v/>
      </c>
      <c r="F33" s="220">
        <f>IFERROR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/('Hist_Financials'!D6*(1+'Scenario_Library'!E36)),0)</f>
        <v/>
      </c>
      <c r="G33" s="221">
        <f>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</f>
        <v/>
      </c>
      <c r="H33" s="219">
        <f>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11</f>
        <v/>
      </c>
      <c r="I33" s="221">
        <f>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-(MAX(0,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)*'Scenario_Library'!V36)</f>
        <v/>
      </c>
      <c r="J33" s="221">
        <f>((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-(MAX(0,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)*'Scenario_Library'!V36))+'Hist_Financials'!D12+('Hist_Financials'!D24*'Scenario_Library'!S36)+('Hist_Financials'!D25*'Scenario_Library'!T36)-( (('Hist_Financials'!D6*(1+'Scenario_Library'!E36))*(MAX(0,IFERROR('Hist_Financials'!D21/'Hist_Financials'!D6*365,0)+'Scenario_Library'!I36))/365)-'Hist_Financials'!D21 )-( (IFERROR(('Hist_Financials'!D6*(1+'Scenario_Library'!E36))*(1-(MAX(-0.5,MIN(0.9,IFERROR('Hist_Financials'!D8/'Hist_Financials'!D6,0)+'Scenario_Library'!F36/10000))))*(MAX(0,IFERROR('Hist_Financials'!D22/'Hist_Financials'!D7*365,0)+'Scenario_Library'!J36))/365,0))-'Hist_Financials'!D22 )+( (IFERROR(('Hist_Financials'!D6*(1+'Scenario_Library'!E36))*(1-(MAX(-0.5,MIN(0.9,IFERROR('Hist_Financials'!D8/'Hist_Financials'!D6,0)+'Scenario_Library'!F36/10000))))*(MAX(0,IFERROR('Hist_Financials'!D28/'Hist_Financials'!D7*365,0)+'Scenario_Library'!K36))/365,0))-'Hist_Financials'!D28 ))-('Hist_Financials'!D36*(1-'Scenario_Library'!P36))</f>
        <v/>
      </c>
      <c r="K33" s="221">
        <f>MAX(0,'Hist_Financials'!D20+((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-(MAX(0,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)*'Scenario_Library'!V36))+'Hist_Financials'!D12+('Hist_Financials'!D24*'Scenario_Library'!S36)+('Hist_Financials'!D25*'Scenario_Library'!T36)-( (('Hist_Financials'!D6*(1+'Scenario_Library'!E36))*(MAX(0,IFERROR('Hist_Financials'!D21/'Hist_Financials'!D6*365,0)+'Scenario_Library'!I36))/365)-'Hist_Financials'!D21 )-( (IFERROR(('Hist_Financials'!D6*(1+'Scenario_Library'!E36))*(1-(MAX(-0.5,MIN(0.9,IFERROR('Hist_Financials'!D8/'Hist_Financials'!D6,0)+'Scenario_Library'!F36/10000))))*(MAX(0,IFERROR('Hist_Financials'!D22/'Hist_Financials'!D7*365,0)+'Scenario_Library'!J36))/365,0))-'Hist_Financials'!D22 )+( (IFERROR(('Hist_Financials'!D6*(1+'Scenario_Library'!E36))*(1-(MAX(-0.5,MIN(0.9,IFERROR('Hist_Financials'!D8/'Hist_Financials'!D6,0)+'Scenario_Library'!F36/10000))))*(MAX(0,IFERROR('Hist_Financials'!D28/'Hist_Financials'!D7*365,0)+'Scenario_Library'!K36))/365,0))-'Hist_Financials'!D28 ))-('Hist_Financials'!D36*(1-'Scenario_Library'!P36))-('Hist_Financials'!D37*(1-'Scenario_Library'!Q36))-('Hist_Financials'!D38*(1-'Scenario_Library'!R36))-('Hist_Financials'!D27*(1-'Scenario_Library'!M36))-('Hist_Financials'!D30*'Scenario_Library'!N36*(1-'Scenario_Library'!O36)))</f>
        <v/>
      </c>
      <c r="L33" s="222">
        <f>IF('Hist_Financials'!D6=0,"",IFERROR(( (('Hist_Financials'!D27-('Hist_Financials'!D27*(1-'Scenario_Library'!M36)))+('Hist_Financials'!D30-('Hist_Financials'!D30*'Scenario_Library'!N36*(1-'Scenario_Library'!O36))))-(MAX(0,'Hist_Financials'!D20+((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-(MAX(0,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)*'Scenario_Library'!V36))+'Hist_Financials'!D12+('Hist_Financials'!D24*'Scenario_Library'!S36)+('Hist_Financials'!D25*'Scenario_Library'!T36)-( (('Hist_Financials'!D6*(1+'Scenario_Library'!E36))*(MAX(0,IFERROR('Hist_Financials'!D21/'Hist_Financials'!D6*365,0)+'Scenario_Library'!I36))/365)-'Hist_Financials'!D21 )-( (IFERROR(('Hist_Financials'!D6*(1+'Scenario_Library'!E36))*(1-(MAX(-0.5,MIN(0.9,IFERROR('Hist_Financials'!D8/'Hist_Financials'!D6,0)+'Scenario_Library'!F36/10000))))*(MAX(0,IFERROR('Hist_Financials'!D22/'Hist_Financials'!D7*365,0)+'Scenario_Library'!J36))/365,0))-'Hist_Financials'!D22 )+( (IFERROR(('Hist_Financials'!D6*(1+'Scenario_Library'!E36))*(1-(MAX(-0.5,MIN(0.9,IFERROR('Hist_Financials'!D8/'Hist_Financials'!D6,0)+'Scenario_Library'!F36/10000))))*(MAX(0,IFERROR('Hist_Financials'!D28/'Hist_Financials'!D7*365,0)+'Scenario_Library'!K36))/365,0))-'Hist_Financials'!D28 ))-('Hist_Financials'!D36*(1-'Scenario_Library'!P36))-('Hist_Financials'!D37*(1-'Scenario_Library'!Q36))-('Hist_Financials'!D38*(1-'Scenario_Library'!R36))-('Hist_Financials'!D27*(1-'Scenario_Library'!M36))-('Hist_Financials'!D30*'Scenario_Library'!N36*(1-'Scenario_Library'!O36)))) )/MAX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,0.01),99))</f>
        <v/>
      </c>
      <c r="M33" s="222">
        <f>IF('Hist_Financials'!D6=0,"",IFERROR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/MAX(((MAX(0,IFERROR('Hist_Financials'!D14/MAX('Hist_Financials'!D27+'Hist_Financials'!D30,1),0)+'Scenario_Library'!L36/10000))*('Hist_Financials'!D27+'Hist_Financials'!D30)),0.01),999))</f>
        <v/>
      </c>
      <c r="N33" s="218">
        <f>IF('Hist_Financials'!D6=0,"— NO DATA —",IF(OR((IFERROR(( (('Hist_Financials'!D27-('Hist_Financials'!D27*(1-'Scenario_Library'!M36)))+('Hist_Financials'!D30-('Hist_Financials'!D30*'Scenario_Library'!N36*(1-'Scenario_Library'!O36))))-(MAX(0,'Hist_Financials'!D20+((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-(MAX(0,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)*'Scenario_Library'!V36))+'Hist_Financials'!D12+('Hist_Financials'!D24*'Scenario_Library'!S36)+('Hist_Financials'!D25*'Scenario_Library'!T36)-( (('Hist_Financials'!D6*(1+'Scenario_Library'!E36))*(MAX(0,IFERROR('Hist_Financials'!D21/'Hist_Financials'!D6*365,0)+'Scenario_Library'!I36))/365)-'Hist_Financials'!D21 )-( (IFERROR(('Hist_Financials'!D6*(1+'Scenario_Library'!E36))*(1-(MAX(-0.5,MIN(0.9,IFERROR('Hist_Financials'!D8/'Hist_Financials'!D6,0)+'Scenario_Library'!F36/10000))))*(MAX(0,IFERROR('Hist_Financials'!D22/'Hist_Financials'!D7*365,0)+'Scenario_Library'!J36))/365,0))-'Hist_Financials'!D22 )+( (IFERROR(('Hist_Financials'!D6*(1+'Scenario_Library'!E36))*(1-(MAX(-0.5,MIN(0.9,IFERROR('Hist_Financials'!D8/'Hist_Financials'!D6,0)+'Scenario_Library'!F36/10000))))*(MAX(0,IFERROR('Hist_Financials'!D28/'Hist_Financials'!D7*365,0)+'Scenario_Library'!K36))/365,0))-'Hist_Financials'!D28 ))-('Hist_Financials'!D36*(1-'Scenario_Library'!P36))-('Hist_Financials'!D37*(1-'Scenario_Library'!Q36))-('Hist_Financials'!D38*(1-'Scenario_Library'!R36))-('Hist_Financials'!D27*(1-'Scenario_Library'!M36))-('Hist_Financials'!D30*'Scenario_Library'!N36*(1-'Scenario_Library'!O36)))) )/MAX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,0.01),99))&gt;'Scenario_Setup'!B13,(IFERROR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/MAX(((MAX(0,IFERROR('Hist_Financials'!D14/MAX('Hist_Financials'!D27+'Hist_Financials'!D30,1),0)+'Scenario_Library'!L36/10000))*('Hist_Financials'!D27+'Hist_Financials'!D30)),0.01),999))&lt;'Scenario_Setup'!B12,('Hist_Financials'!D32+(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-(MAX(0,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)*'Scenario_Library'!V36))-('Hist_Financials'!D37*(1-'Scenario_Library'!Q36))-('Hist_Financials'!D38*(1-'Scenario_Library'!R36)))&lt;0,(((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-(MAX(0,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)*'Scenario_Library'!V36))+'Hist_Financials'!D12+('Hist_Financials'!D24*'Scenario_Library'!S36)+('Hist_Financials'!D25*'Scenario_Library'!T36)-( (('Hist_Financials'!D6*(1+'Scenario_Library'!E36))*(MAX(0,IFERROR('Hist_Financials'!D21/'Hist_Financials'!D6*365,0)+'Scenario_Library'!I36))/365)-'Hist_Financials'!D21 )-( (IFERROR(('Hist_Financials'!D6*(1+'Scenario_Library'!E36))*(1-(MAX(-0.5,MIN(0.9,IFERROR('Hist_Financials'!D8/'Hist_Financials'!D6,0)+'Scenario_Library'!F36/10000))))*(MAX(0,IFERROR('Hist_Financials'!D22/'Hist_Financials'!D7*365,0)+'Scenario_Library'!J36))/365,0))-'Hist_Financials'!D22 )+( (IFERROR(('Hist_Financials'!D6*(1+'Scenario_Library'!E36))*(1-(MAX(-0.5,MIN(0.9,IFERROR('Hist_Financials'!D8/'Hist_Financials'!D6,0)+'Scenario_Library'!F36/10000))))*(MAX(0,IFERROR('Hist_Financials'!D28/'Hist_Financials'!D7*365,0)+'Scenario_Library'!K36))/365,0))-'Hist_Financials'!D28 ))-('Hist_Financials'!D36*(1-'Scenario_Library'!P36)))&lt;-0.2*'Hist_Financials'!D6),"CRITICAL",IF(AND((((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-(MAX(0,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)*'Scenario_Library'!V36))+'Hist_Financials'!D12+('Hist_Financials'!D24*'Scenario_Library'!S36)+('Hist_Financials'!D25*'Scenario_Library'!T36)-( (('Hist_Financials'!D6*(1+'Scenario_Library'!E36))*(MAX(0,IFERROR('Hist_Financials'!D21/'Hist_Financials'!D6*365,0)+'Scenario_Library'!I36))/365)-'Hist_Financials'!D21 )-( (IFERROR(('Hist_Financials'!D6*(1+'Scenario_Library'!E36))*(1-(MAX(-0.5,MIN(0.9,IFERROR('Hist_Financials'!D8/'Hist_Financials'!D6,0)+'Scenario_Library'!F36/10000))))*(MAX(0,IFERROR('Hist_Financials'!D22/'Hist_Financials'!D7*365,0)+'Scenario_Library'!J36))/365,0))-'Hist_Financials'!D22 )+( (IFERROR(('Hist_Financials'!D6*(1+'Scenario_Library'!E36))*(1-(MAX(-0.5,MIN(0.9,IFERROR('Hist_Financials'!D8/'Hist_Financials'!D6,0)+'Scenario_Library'!F36/10000))))*(MAX(0,IFERROR('Hist_Financials'!D28/'Hist_Financials'!D7*365,0)+'Scenario_Library'!K36))/365,0))-'Hist_Financials'!D28 ))-('Hist_Financials'!D36*(1-'Scenario_Library'!P36)))&gt;=0,(IFERROR(( (('Hist_Financials'!D27-('Hist_Financials'!D27*(1-'Scenario_Library'!M36)))+('Hist_Financials'!D30-('Hist_Financials'!D30*'Scenario_Library'!N36*(1-'Scenario_Library'!O36))))-(MAX(0,'Hist_Financials'!D20+((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-(MAX(0,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)*'Scenario_Library'!V36))+'Hist_Financials'!D12+('Hist_Financials'!D24*'Scenario_Library'!S36)+('Hist_Financials'!D25*'Scenario_Library'!T36)-( (('Hist_Financials'!D6*(1+'Scenario_Library'!E36))*(MAX(0,IFERROR('Hist_Financials'!D21/'Hist_Financials'!D6*365,0)+'Scenario_Library'!I36))/365)-'Hist_Financials'!D21 )-( (IFERROR(('Hist_Financials'!D6*(1+'Scenario_Library'!E36))*(1-(MAX(-0.5,MIN(0.9,IFERROR('Hist_Financials'!D8/'Hist_Financials'!D6,0)+'Scenario_Library'!F36/10000))))*(MAX(0,IFERROR('Hist_Financials'!D22/'Hist_Financials'!D7*365,0)+'Scenario_Library'!J36))/365,0))-'Hist_Financials'!D22 )+( (IFERROR(('Hist_Financials'!D6*(1+'Scenario_Library'!E36))*(1-(MAX(-0.5,MIN(0.9,IFERROR('Hist_Financials'!D8/'Hist_Financials'!D6,0)+'Scenario_Library'!F36/10000))))*(MAX(0,IFERROR('Hist_Financials'!D28/'Hist_Financials'!D7*365,0)+'Scenario_Library'!K36))/365,0))-'Hist_Financials'!D28 ))-('Hist_Financials'!D36*(1-'Scenario_Library'!P36))-('Hist_Financials'!D37*(1-'Scenario_Library'!Q36))-('Hist_Financials'!D38*(1-'Scenario_Library'!R36))-('Hist_Financials'!D27*(1-'Scenario_Library'!M36))-('Hist_Financials'!D30*'Scenario_Library'!N36*(1-'Scenario_Library'!O36)))) )/MAX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,0.01),99))&lt;3,(IFERROR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/MAX(((MAX(0,IFERROR('Hist_Financials'!D14/MAX('Hist_Financials'!D27+'Hist_Financials'!D30,1),0)+'Scenario_Library'!L36/10000))*('Hist_Financials'!D27+'Hist_Financials'!D30)),0.01),999))&gt;='Scenario_Setup'!B12,('Hist_Financials'!D32+(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-(MAX(0,((((('Hist_Financials'!D6*(1+'Scenario_Library'!E36))*(MAX(-0.5,MIN(0.9,IFERROR('Hist_Financials'!D8/'Hist_Financials'!D6,0)+'Scenario_Library'!F36/10000))))-(MAX(0,'Hist_Financials'!D9*(1+'Scenario_Setup'!B9*('Scenario_Library'!E36)+('Scenario_Library'!G36))))-(MAX(0,'Hist_Financials'!D10*(1+'Scenario_Library'!H36))))-'Hist_Financials'!D12)-((MAX(0,IFERROR('Hist_Financials'!D14/MAX('Hist_Financials'!D27+'Hist_Financials'!D30,1),0)+'Scenario_Library'!L36/10000))*('Hist_Financials'!D27+'Hist_Financials'!D30))-('Hist_Financials'!D24*'Scenario_Library'!S36)-('Hist_Financials'!D25*'Scenario_Library'!T36)-('Hist_Financials'!D6*'Scenario_Library'!U36)))*'Scenario_Library'!V36))-('Hist_Financials'!D37*(1-'Scenario_Library'!Q36))-('Hist_Financials'!D38*(1-'Scenario_Library'!R36)))&gt;0),"RESILIENT","WATCH")))</f>
        <v/>
      </c>
    </row>
    <row r="34" ht="17" customHeight="1" s="28">
      <c r="B34" s="223">
        <f>'Scenario_Library'!A37</f>
        <v/>
      </c>
      <c r="C34" s="224" t="inlineStr">
        <is>
          <t>Light</t>
        </is>
      </c>
      <c r="D34" s="225">
        <f>'Hist_Financials'!D6*(1+'Scenario_Library'!E37)</f>
        <v/>
      </c>
      <c r="E34" s="226">
        <f>('Hist_Financials'!D6*(1+'Scenario_Library'!E37))-'Hist_Financials'!D6</f>
        <v/>
      </c>
      <c r="F34" s="227">
        <f>IFERROR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/('Hist_Financials'!D6*(1+'Scenario_Library'!E37)),0)</f>
        <v/>
      </c>
      <c r="G34" s="225">
        <f>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</f>
        <v/>
      </c>
      <c r="H34" s="226">
        <f>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11</f>
        <v/>
      </c>
      <c r="I34" s="225">
        <f>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-(MAX(0,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)*'Scenario_Library'!V37)</f>
        <v/>
      </c>
      <c r="J34" s="225">
        <f>((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-(MAX(0,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)*'Scenario_Library'!V37))+'Hist_Financials'!D12+('Hist_Financials'!D24*'Scenario_Library'!S37)+('Hist_Financials'!D25*'Scenario_Library'!T37)-( (('Hist_Financials'!D6*(1+'Scenario_Library'!E37))*(MAX(0,IFERROR('Hist_Financials'!D21/'Hist_Financials'!D6*365,0)+'Scenario_Library'!I37))/365)-'Hist_Financials'!D21 )-( (IFERROR(('Hist_Financials'!D6*(1+'Scenario_Library'!E37))*(1-(MAX(-0.5,MIN(0.9,IFERROR('Hist_Financials'!D8/'Hist_Financials'!D6,0)+'Scenario_Library'!F37/10000))))*(MAX(0,IFERROR('Hist_Financials'!D22/'Hist_Financials'!D7*365,0)+'Scenario_Library'!J37))/365,0))-'Hist_Financials'!D22 )+( (IFERROR(('Hist_Financials'!D6*(1+'Scenario_Library'!E37))*(1-(MAX(-0.5,MIN(0.9,IFERROR('Hist_Financials'!D8/'Hist_Financials'!D6,0)+'Scenario_Library'!F37/10000))))*(MAX(0,IFERROR('Hist_Financials'!D28/'Hist_Financials'!D7*365,0)+'Scenario_Library'!K37))/365,0))-'Hist_Financials'!D28 ))-('Hist_Financials'!D36*(1-'Scenario_Library'!P37))</f>
        <v/>
      </c>
      <c r="K34" s="225">
        <f>MAX(0,'Hist_Financials'!D20+((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-(MAX(0,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)*'Scenario_Library'!V37))+'Hist_Financials'!D12+('Hist_Financials'!D24*'Scenario_Library'!S37)+('Hist_Financials'!D25*'Scenario_Library'!T37)-( (('Hist_Financials'!D6*(1+'Scenario_Library'!E37))*(MAX(0,IFERROR('Hist_Financials'!D21/'Hist_Financials'!D6*365,0)+'Scenario_Library'!I37))/365)-'Hist_Financials'!D21 )-( (IFERROR(('Hist_Financials'!D6*(1+'Scenario_Library'!E37))*(1-(MAX(-0.5,MIN(0.9,IFERROR('Hist_Financials'!D8/'Hist_Financials'!D6,0)+'Scenario_Library'!F37/10000))))*(MAX(0,IFERROR('Hist_Financials'!D22/'Hist_Financials'!D7*365,0)+'Scenario_Library'!J37))/365,0))-'Hist_Financials'!D22 )+( (IFERROR(('Hist_Financials'!D6*(1+'Scenario_Library'!E37))*(1-(MAX(-0.5,MIN(0.9,IFERROR('Hist_Financials'!D8/'Hist_Financials'!D6,0)+'Scenario_Library'!F37/10000))))*(MAX(0,IFERROR('Hist_Financials'!D28/'Hist_Financials'!D7*365,0)+'Scenario_Library'!K37))/365,0))-'Hist_Financials'!D28 ))-('Hist_Financials'!D36*(1-'Scenario_Library'!P37))-('Hist_Financials'!D37*(1-'Scenario_Library'!Q37))-('Hist_Financials'!D38*(1-'Scenario_Library'!R37))-('Hist_Financials'!D27*(1-'Scenario_Library'!M37))-('Hist_Financials'!D30*'Scenario_Library'!N37*(1-'Scenario_Library'!O37)))</f>
        <v/>
      </c>
      <c r="L34" s="228">
        <f>IF('Hist_Financials'!D6=0,"",IFERROR(( (('Hist_Financials'!D27-('Hist_Financials'!D27*(1-'Scenario_Library'!M37)))+('Hist_Financials'!D30-('Hist_Financials'!D30*'Scenario_Library'!N37*(1-'Scenario_Library'!O37))))-(MAX(0,'Hist_Financials'!D20+((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-(MAX(0,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)*'Scenario_Library'!V37))+'Hist_Financials'!D12+('Hist_Financials'!D24*'Scenario_Library'!S37)+('Hist_Financials'!D25*'Scenario_Library'!T37)-( (('Hist_Financials'!D6*(1+'Scenario_Library'!E37))*(MAX(0,IFERROR('Hist_Financials'!D21/'Hist_Financials'!D6*365,0)+'Scenario_Library'!I37))/365)-'Hist_Financials'!D21 )-( (IFERROR(('Hist_Financials'!D6*(1+'Scenario_Library'!E37))*(1-(MAX(-0.5,MIN(0.9,IFERROR('Hist_Financials'!D8/'Hist_Financials'!D6,0)+'Scenario_Library'!F37/10000))))*(MAX(0,IFERROR('Hist_Financials'!D22/'Hist_Financials'!D7*365,0)+'Scenario_Library'!J37))/365,0))-'Hist_Financials'!D22 )+( (IFERROR(('Hist_Financials'!D6*(1+'Scenario_Library'!E37))*(1-(MAX(-0.5,MIN(0.9,IFERROR('Hist_Financials'!D8/'Hist_Financials'!D6,0)+'Scenario_Library'!F37/10000))))*(MAX(0,IFERROR('Hist_Financials'!D28/'Hist_Financials'!D7*365,0)+'Scenario_Library'!K37))/365,0))-'Hist_Financials'!D28 ))-('Hist_Financials'!D36*(1-'Scenario_Library'!P37))-('Hist_Financials'!D37*(1-'Scenario_Library'!Q37))-('Hist_Financials'!D38*(1-'Scenario_Library'!R37))-('Hist_Financials'!D27*(1-'Scenario_Library'!M37))-('Hist_Financials'!D30*'Scenario_Library'!N37*(1-'Scenario_Library'!O37)))) )/MAX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,0.01),99))</f>
        <v/>
      </c>
      <c r="M34" s="228">
        <f>IF('Hist_Financials'!D6=0,"",IFERROR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/MAX(((MAX(0,IFERROR('Hist_Financials'!D14/MAX('Hist_Financials'!D27+'Hist_Financials'!D30,1),0)+'Scenario_Library'!L37/10000))*('Hist_Financials'!D27+'Hist_Financials'!D30)),0.01),999))</f>
        <v/>
      </c>
      <c r="N34" s="229">
        <f>IF('Hist_Financials'!D6=0,"— NO DATA —",IF(OR((IFERROR(( (('Hist_Financials'!D27-('Hist_Financials'!D27*(1-'Scenario_Library'!M37)))+('Hist_Financials'!D30-('Hist_Financials'!D30*'Scenario_Library'!N37*(1-'Scenario_Library'!O37))))-(MAX(0,'Hist_Financials'!D20+((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-(MAX(0,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)*'Scenario_Library'!V37))+'Hist_Financials'!D12+('Hist_Financials'!D24*'Scenario_Library'!S37)+('Hist_Financials'!D25*'Scenario_Library'!T37)-( (('Hist_Financials'!D6*(1+'Scenario_Library'!E37))*(MAX(0,IFERROR('Hist_Financials'!D21/'Hist_Financials'!D6*365,0)+'Scenario_Library'!I37))/365)-'Hist_Financials'!D21 )-( (IFERROR(('Hist_Financials'!D6*(1+'Scenario_Library'!E37))*(1-(MAX(-0.5,MIN(0.9,IFERROR('Hist_Financials'!D8/'Hist_Financials'!D6,0)+'Scenario_Library'!F37/10000))))*(MAX(0,IFERROR('Hist_Financials'!D22/'Hist_Financials'!D7*365,0)+'Scenario_Library'!J37))/365,0))-'Hist_Financials'!D22 )+( (IFERROR(('Hist_Financials'!D6*(1+'Scenario_Library'!E37))*(1-(MAX(-0.5,MIN(0.9,IFERROR('Hist_Financials'!D8/'Hist_Financials'!D6,0)+'Scenario_Library'!F37/10000))))*(MAX(0,IFERROR('Hist_Financials'!D28/'Hist_Financials'!D7*365,0)+'Scenario_Library'!K37))/365,0))-'Hist_Financials'!D28 ))-('Hist_Financials'!D36*(1-'Scenario_Library'!P37))-('Hist_Financials'!D37*(1-'Scenario_Library'!Q37))-('Hist_Financials'!D38*(1-'Scenario_Library'!R37))-('Hist_Financials'!D27*(1-'Scenario_Library'!M37))-('Hist_Financials'!D30*'Scenario_Library'!N37*(1-'Scenario_Library'!O37)))) )/MAX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,0.01),99))&gt;'Scenario_Setup'!B13,(IFERROR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/MAX(((MAX(0,IFERROR('Hist_Financials'!D14/MAX('Hist_Financials'!D27+'Hist_Financials'!D30,1),0)+'Scenario_Library'!L37/10000))*('Hist_Financials'!D27+'Hist_Financials'!D30)),0.01),999))&lt;'Scenario_Setup'!B12,('Hist_Financials'!D32+(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-(MAX(0,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)*'Scenario_Library'!V37))-('Hist_Financials'!D37*(1-'Scenario_Library'!Q37))-('Hist_Financials'!D38*(1-'Scenario_Library'!R37)))&lt;0,(((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-(MAX(0,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)*'Scenario_Library'!V37))+'Hist_Financials'!D12+('Hist_Financials'!D24*'Scenario_Library'!S37)+('Hist_Financials'!D25*'Scenario_Library'!T37)-( (('Hist_Financials'!D6*(1+'Scenario_Library'!E37))*(MAX(0,IFERROR('Hist_Financials'!D21/'Hist_Financials'!D6*365,0)+'Scenario_Library'!I37))/365)-'Hist_Financials'!D21 )-( (IFERROR(('Hist_Financials'!D6*(1+'Scenario_Library'!E37))*(1-(MAX(-0.5,MIN(0.9,IFERROR('Hist_Financials'!D8/'Hist_Financials'!D6,0)+'Scenario_Library'!F37/10000))))*(MAX(0,IFERROR('Hist_Financials'!D22/'Hist_Financials'!D7*365,0)+'Scenario_Library'!J37))/365,0))-'Hist_Financials'!D22 )+( (IFERROR(('Hist_Financials'!D6*(1+'Scenario_Library'!E37))*(1-(MAX(-0.5,MIN(0.9,IFERROR('Hist_Financials'!D8/'Hist_Financials'!D6,0)+'Scenario_Library'!F37/10000))))*(MAX(0,IFERROR('Hist_Financials'!D28/'Hist_Financials'!D7*365,0)+'Scenario_Library'!K37))/365,0))-'Hist_Financials'!D28 ))-('Hist_Financials'!D36*(1-'Scenario_Library'!P37)))&lt;-0.2*'Hist_Financials'!D6),"CRITICAL",IF(AND((((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-(MAX(0,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)*'Scenario_Library'!V37))+'Hist_Financials'!D12+('Hist_Financials'!D24*'Scenario_Library'!S37)+('Hist_Financials'!D25*'Scenario_Library'!T37)-( (('Hist_Financials'!D6*(1+'Scenario_Library'!E37))*(MAX(0,IFERROR('Hist_Financials'!D21/'Hist_Financials'!D6*365,0)+'Scenario_Library'!I37))/365)-'Hist_Financials'!D21 )-( (IFERROR(('Hist_Financials'!D6*(1+'Scenario_Library'!E37))*(1-(MAX(-0.5,MIN(0.9,IFERROR('Hist_Financials'!D8/'Hist_Financials'!D6,0)+'Scenario_Library'!F37/10000))))*(MAX(0,IFERROR('Hist_Financials'!D22/'Hist_Financials'!D7*365,0)+'Scenario_Library'!J37))/365,0))-'Hist_Financials'!D22 )+( (IFERROR(('Hist_Financials'!D6*(1+'Scenario_Library'!E37))*(1-(MAX(-0.5,MIN(0.9,IFERROR('Hist_Financials'!D8/'Hist_Financials'!D6,0)+'Scenario_Library'!F37/10000))))*(MAX(0,IFERROR('Hist_Financials'!D28/'Hist_Financials'!D7*365,0)+'Scenario_Library'!K37))/365,0))-'Hist_Financials'!D28 ))-('Hist_Financials'!D36*(1-'Scenario_Library'!P37)))&gt;=0,(IFERROR(( (('Hist_Financials'!D27-('Hist_Financials'!D27*(1-'Scenario_Library'!M37)))+('Hist_Financials'!D30-('Hist_Financials'!D30*'Scenario_Library'!N37*(1-'Scenario_Library'!O37))))-(MAX(0,'Hist_Financials'!D20+((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-(MAX(0,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)*'Scenario_Library'!V37))+'Hist_Financials'!D12+('Hist_Financials'!D24*'Scenario_Library'!S37)+('Hist_Financials'!D25*'Scenario_Library'!T37)-( (('Hist_Financials'!D6*(1+'Scenario_Library'!E37))*(MAX(0,IFERROR('Hist_Financials'!D21/'Hist_Financials'!D6*365,0)+'Scenario_Library'!I37))/365)-'Hist_Financials'!D21 )-( (IFERROR(('Hist_Financials'!D6*(1+'Scenario_Library'!E37))*(1-(MAX(-0.5,MIN(0.9,IFERROR('Hist_Financials'!D8/'Hist_Financials'!D6,0)+'Scenario_Library'!F37/10000))))*(MAX(0,IFERROR('Hist_Financials'!D22/'Hist_Financials'!D7*365,0)+'Scenario_Library'!J37))/365,0))-'Hist_Financials'!D22 )+( (IFERROR(('Hist_Financials'!D6*(1+'Scenario_Library'!E37))*(1-(MAX(-0.5,MIN(0.9,IFERROR('Hist_Financials'!D8/'Hist_Financials'!D6,0)+'Scenario_Library'!F37/10000))))*(MAX(0,IFERROR('Hist_Financials'!D28/'Hist_Financials'!D7*365,0)+'Scenario_Library'!K37))/365,0))-'Hist_Financials'!D28 ))-('Hist_Financials'!D36*(1-'Scenario_Library'!P37))-('Hist_Financials'!D37*(1-'Scenario_Library'!Q37))-('Hist_Financials'!D38*(1-'Scenario_Library'!R37))-('Hist_Financials'!D27*(1-'Scenario_Library'!M37))-('Hist_Financials'!D30*'Scenario_Library'!N37*(1-'Scenario_Library'!O37)))) )/MAX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,0.01),99))&lt;3,(IFERROR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/MAX(((MAX(0,IFERROR('Hist_Financials'!D14/MAX('Hist_Financials'!D27+'Hist_Financials'!D30,1),0)+'Scenario_Library'!L37/10000))*('Hist_Financials'!D27+'Hist_Financials'!D30)),0.01),999))&gt;='Scenario_Setup'!B12,('Hist_Financials'!D32+(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-(MAX(0,((((('Hist_Financials'!D6*(1+'Scenario_Library'!E37))*(MAX(-0.5,MIN(0.9,IFERROR('Hist_Financials'!D8/'Hist_Financials'!D6,0)+'Scenario_Library'!F37/10000))))-(MAX(0,'Hist_Financials'!D9*(1+'Scenario_Setup'!B9*('Scenario_Library'!E37)+('Scenario_Library'!G37))))-(MAX(0,'Hist_Financials'!D10*(1+'Scenario_Library'!H37))))-'Hist_Financials'!D12)-((MAX(0,IFERROR('Hist_Financials'!D14/MAX('Hist_Financials'!D27+'Hist_Financials'!D30,1),0)+'Scenario_Library'!L37/10000))*('Hist_Financials'!D27+'Hist_Financials'!D30))-('Hist_Financials'!D24*'Scenario_Library'!S37)-('Hist_Financials'!D25*'Scenario_Library'!T37)-('Hist_Financials'!D6*'Scenario_Library'!U37)))*'Scenario_Library'!V37))-('Hist_Financials'!D37*(1-'Scenario_Library'!Q37))-('Hist_Financials'!D38*(1-'Scenario_Library'!R37)))&gt;0),"RESILIENT","WATCH")))</f>
        <v/>
      </c>
    </row>
    <row r="35" ht="17" customHeight="1" s="28">
      <c r="B35" s="230">
        <f>'Scenario_Library'!A38</f>
        <v/>
      </c>
      <c r="C35" s="231" t="inlineStr">
        <is>
          <t>Base</t>
        </is>
      </c>
      <c r="D35" s="215">
        <f>'Hist_Financials'!D6*(1+'Scenario_Library'!E38)</f>
        <v/>
      </c>
      <c r="E35" s="213">
        <f>('Hist_Financials'!D6*(1+'Scenario_Library'!E38))-'Hist_Financials'!D6</f>
        <v/>
      </c>
      <c r="F35" s="214">
        <f>IFERROR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/('Hist_Financials'!D6*(1+'Scenario_Library'!E38)),0)</f>
        <v/>
      </c>
      <c r="G35" s="215">
        <f>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</f>
        <v/>
      </c>
      <c r="H35" s="213">
        <f>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11</f>
        <v/>
      </c>
      <c r="I35" s="215">
        <f>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-(MAX(0,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)*'Scenario_Library'!V38)</f>
        <v/>
      </c>
      <c r="J35" s="215">
        <f>((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-(MAX(0,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)*'Scenario_Library'!V38))+'Hist_Financials'!D12+('Hist_Financials'!D24*'Scenario_Library'!S38)+('Hist_Financials'!D25*'Scenario_Library'!T38)-( (('Hist_Financials'!D6*(1+'Scenario_Library'!E38))*(MAX(0,IFERROR('Hist_Financials'!D21/'Hist_Financials'!D6*365,0)+'Scenario_Library'!I38))/365)-'Hist_Financials'!D21 )-( (IFERROR(('Hist_Financials'!D6*(1+'Scenario_Library'!E38))*(1-(MAX(-0.5,MIN(0.9,IFERROR('Hist_Financials'!D8/'Hist_Financials'!D6,0)+'Scenario_Library'!F38/10000))))*(MAX(0,IFERROR('Hist_Financials'!D22/'Hist_Financials'!D7*365,0)+'Scenario_Library'!J38))/365,0))-'Hist_Financials'!D22 )+( (IFERROR(('Hist_Financials'!D6*(1+'Scenario_Library'!E38))*(1-(MAX(-0.5,MIN(0.9,IFERROR('Hist_Financials'!D8/'Hist_Financials'!D6,0)+'Scenario_Library'!F38/10000))))*(MAX(0,IFERROR('Hist_Financials'!D28/'Hist_Financials'!D7*365,0)+'Scenario_Library'!K38))/365,0))-'Hist_Financials'!D28 ))-('Hist_Financials'!D36*(1-'Scenario_Library'!P38))</f>
        <v/>
      </c>
      <c r="K35" s="215">
        <f>MAX(0,'Hist_Financials'!D20+((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-(MAX(0,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)*'Scenario_Library'!V38))+'Hist_Financials'!D12+('Hist_Financials'!D24*'Scenario_Library'!S38)+('Hist_Financials'!D25*'Scenario_Library'!T38)-( (('Hist_Financials'!D6*(1+'Scenario_Library'!E38))*(MAX(0,IFERROR('Hist_Financials'!D21/'Hist_Financials'!D6*365,0)+'Scenario_Library'!I38))/365)-'Hist_Financials'!D21 )-( (IFERROR(('Hist_Financials'!D6*(1+'Scenario_Library'!E38))*(1-(MAX(-0.5,MIN(0.9,IFERROR('Hist_Financials'!D8/'Hist_Financials'!D6,0)+'Scenario_Library'!F38/10000))))*(MAX(0,IFERROR('Hist_Financials'!D22/'Hist_Financials'!D7*365,0)+'Scenario_Library'!J38))/365,0))-'Hist_Financials'!D22 )+( (IFERROR(('Hist_Financials'!D6*(1+'Scenario_Library'!E38))*(1-(MAX(-0.5,MIN(0.9,IFERROR('Hist_Financials'!D8/'Hist_Financials'!D6,0)+'Scenario_Library'!F38/10000))))*(MAX(0,IFERROR('Hist_Financials'!D28/'Hist_Financials'!D7*365,0)+'Scenario_Library'!K38))/365,0))-'Hist_Financials'!D28 ))-('Hist_Financials'!D36*(1-'Scenario_Library'!P38))-('Hist_Financials'!D37*(1-'Scenario_Library'!Q38))-('Hist_Financials'!D38*(1-'Scenario_Library'!R38))-('Hist_Financials'!D27*(1-'Scenario_Library'!M38))-('Hist_Financials'!D30*'Scenario_Library'!N38*(1-'Scenario_Library'!O38)))</f>
        <v/>
      </c>
      <c r="L35" s="216">
        <f>IF('Hist_Financials'!D6=0,"",IFERROR(( (('Hist_Financials'!D27-('Hist_Financials'!D27*(1-'Scenario_Library'!M38)))+('Hist_Financials'!D30-('Hist_Financials'!D30*'Scenario_Library'!N38*(1-'Scenario_Library'!O38))))-(MAX(0,'Hist_Financials'!D20+((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-(MAX(0,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)*'Scenario_Library'!V38))+'Hist_Financials'!D12+('Hist_Financials'!D24*'Scenario_Library'!S38)+('Hist_Financials'!D25*'Scenario_Library'!T38)-( (('Hist_Financials'!D6*(1+'Scenario_Library'!E38))*(MAX(0,IFERROR('Hist_Financials'!D21/'Hist_Financials'!D6*365,0)+'Scenario_Library'!I38))/365)-'Hist_Financials'!D21 )-( (IFERROR(('Hist_Financials'!D6*(1+'Scenario_Library'!E38))*(1-(MAX(-0.5,MIN(0.9,IFERROR('Hist_Financials'!D8/'Hist_Financials'!D6,0)+'Scenario_Library'!F38/10000))))*(MAX(0,IFERROR('Hist_Financials'!D22/'Hist_Financials'!D7*365,0)+'Scenario_Library'!J38))/365,0))-'Hist_Financials'!D22 )+( (IFERROR(('Hist_Financials'!D6*(1+'Scenario_Library'!E38))*(1-(MAX(-0.5,MIN(0.9,IFERROR('Hist_Financials'!D8/'Hist_Financials'!D6,0)+'Scenario_Library'!F38/10000))))*(MAX(0,IFERROR('Hist_Financials'!D28/'Hist_Financials'!D7*365,0)+'Scenario_Library'!K38))/365,0))-'Hist_Financials'!D28 ))-('Hist_Financials'!D36*(1-'Scenario_Library'!P38))-('Hist_Financials'!D37*(1-'Scenario_Library'!Q38))-('Hist_Financials'!D38*(1-'Scenario_Library'!R38))-('Hist_Financials'!D27*(1-'Scenario_Library'!M38))-('Hist_Financials'!D30*'Scenario_Library'!N38*(1-'Scenario_Library'!O38)))) )/MAX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,0.01),99))</f>
        <v/>
      </c>
      <c r="M35" s="216">
        <f>IF('Hist_Financials'!D6=0,"",IFERROR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/MAX(((MAX(0,IFERROR('Hist_Financials'!D14/MAX('Hist_Financials'!D27+'Hist_Financials'!D30,1),0)+'Scenario_Library'!L38/10000))*('Hist_Financials'!D27+'Hist_Financials'!D30)),0.01),999))</f>
        <v/>
      </c>
      <c r="N35" s="212">
        <f>IF('Hist_Financials'!D6=0,"— NO DATA —",IF(OR((IFERROR(( (('Hist_Financials'!D27-('Hist_Financials'!D27*(1-'Scenario_Library'!M38)))+('Hist_Financials'!D30-('Hist_Financials'!D30*'Scenario_Library'!N38*(1-'Scenario_Library'!O38))))-(MAX(0,'Hist_Financials'!D20+((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-(MAX(0,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)*'Scenario_Library'!V38))+'Hist_Financials'!D12+('Hist_Financials'!D24*'Scenario_Library'!S38)+('Hist_Financials'!D25*'Scenario_Library'!T38)-( (('Hist_Financials'!D6*(1+'Scenario_Library'!E38))*(MAX(0,IFERROR('Hist_Financials'!D21/'Hist_Financials'!D6*365,0)+'Scenario_Library'!I38))/365)-'Hist_Financials'!D21 )-( (IFERROR(('Hist_Financials'!D6*(1+'Scenario_Library'!E38))*(1-(MAX(-0.5,MIN(0.9,IFERROR('Hist_Financials'!D8/'Hist_Financials'!D6,0)+'Scenario_Library'!F38/10000))))*(MAX(0,IFERROR('Hist_Financials'!D22/'Hist_Financials'!D7*365,0)+'Scenario_Library'!J38))/365,0))-'Hist_Financials'!D22 )+( (IFERROR(('Hist_Financials'!D6*(1+'Scenario_Library'!E38))*(1-(MAX(-0.5,MIN(0.9,IFERROR('Hist_Financials'!D8/'Hist_Financials'!D6,0)+'Scenario_Library'!F38/10000))))*(MAX(0,IFERROR('Hist_Financials'!D28/'Hist_Financials'!D7*365,0)+'Scenario_Library'!K38))/365,0))-'Hist_Financials'!D28 ))-('Hist_Financials'!D36*(1-'Scenario_Library'!P38))-('Hist_Financials'!D37*(1-'Scenario_Library'!Q38))-('Hist_Financials'!D38*(1-'Scenario_Library'!R38))-('Hist_Financials'!D27*(1-'Scenario_Library'!M38))-('Hist_Financials'!D30*'Scenario_Library'!N38*(1-'Scenario_Library'!O38)))) )/MAX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,0.01),99))&gt;'Scenario_Setup'!B13,(IFERROR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/MAX(((MAX(0,IFERROR('Hist_Financials'!D14/MAX('Hist_Financials'!D27+'Hist_Financials'!D30,1),0)+'Scenario_Library'!L38/10000))*('Hist_Financials'!D27+'Hist_Financials'!D30)),0.01),999))&lt;'Scenario_Setup'!B12,('Hist_Financials'!D32+(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-(MAX(0,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)*'Scenario_Library'!V38))-('Hist_Financials'!D37*(1-'Scenario_Library'!Q38))-('Hist_Financials'!D38*(1-'Scenario_Library'!R38)))&lt;0,(((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-(MAX(0,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)*'Scenario_Library'!V38))+'Hist_Financials'!D12+('Hist_Financials'!D24*'Scenario_Library'!S38)+('Hist_Financials'!D25*'Scenario_Library'!T38)-( (('Hist_Financials'!D6*(1+'Scenario_Library'!E38))*(MAX(0,IFERROR('Hist_Financials'!D21/'Hist_Financials'!D6*365,0)+'Scenario_Library'!I38))/365)-'Hist_Financials'!D21 )-( (IFERROR(('Hist_Financials'!D6*(1+'Scenario_Library'!E38))*(1-(MAX(-0.5,MIN(0.9,IFERROR('Hist_Financials'!D8/'Hist_Financials'!D6,0)+'Scenario_Library'!F38/10000))))*(MAX(0,IFERROR('Hist_Financials'!D22/'Hist_Financials'!D7*365,0)+'Scenario_Library'!J38))/365,0))-'Hist_Financials'!D22 )+( (IFERROR(('Hist_Financials'!D6*(1+'Scenario_Library'!E38))*(1-(MAX(-0.5,MIN(0.9,IFERROR('Hist_Financials'!D8/'Hist_Financials'!D6,0)+'Scenario_Library'!F38/10000))))*(MAX(0,IFERROR('Hist_Financials'!D28/'Hist_Financials'!D7*365,0)+'Scenario_Library'!K38))/365,0))-'Hist_Financials'!D28 ))-('Hist_Financials'!D36*(1-'Scenario_Library'!P38)))&lt;-0.2*'Hist_Financials'!D6),"CRITICAL",IF(AND((((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-(MAX(0,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)*'Scenario_Library'!V38))+'Hist_Financials'!D12+('Hist_Financials'!D24*'Scenario_Library'!S38)+('Hist_Financials'!D25*'Scenario_Library'!T38)-( (('Hist_Financials'!D6*(1+'Scenario_Library'!E38))*(MAX(0,IFERROR('Hist_Financials'!D21/'Hist_Financials'!D6*365,0)+'Scenario_Library'!I38))/365)-'Hist_Financials'!D21 )-( (IFERROR(('Hist_Financials'!D6*(1+'Scenario_Library'!E38))*(1-(MAX(-0.5,MIN(0.9,IFERROR('Hist_Financials'!D8/'Hist_Financials'!D6,0)+'Scenario_Library'!F38/10000))))*(MAX(0,IFERROR('Hist_Financials'!D22/'Hist_Financials'!D7*365,0)+'Scenario_Library'!J38))/365,0))-'Hist_Financials'!D22 )+( (IFERROR(('Hist_Financials'!D6*(1+'Scenario_Library'!E38))*(1-(MAX(-0.5,MIN(0.9,IFERROR('Hist_Financials'!D8/'Hist_Financials'!D6,0)+'Scenario_Library'!F38/10000))))*(MAX(0,IFERROR('Hist_Financials'!D28/'Hist_Financials'!D7*365,0)+'Scenario_Library'!K38))/365,0))-'Hist_Financials'!D28 ))-('Hist_Financials'!D36*(1-'Scenario_Library'!P38)))&gt;=0,(IFERROR(( (('Hist_Financials'!D27-('Hist_Financials'!D27*(1-'Scenario_Library'!M38)))+('Hist_Financials'!D30-('Hist_Financials'!D30*'Scenario_Library'!N38*(1-'Scenario_Library'!O38))))-(MAX(0,'Hist_Financials'!D20+((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-(MAX(0,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)*'Scenario_Library'!V38))+'Hist_Financials'!D12+('Hist_Financials'!D24*'Scenario_Library'!S38)+('Hist_Financials'!D25*'Scenario_Library'!T38)-( (('Hist_Financials'!D6*(1+'Scenario_Library'!E38))*(MAX(0,IFERROR('Hist_Financials'!D21/'Hist_Financials'!D6*365,0)+'Scenario_Library'!I38))/365)-'Hist_Financials'!D21 )-( (IFERROR(('Hist_Financials'!D6*(1+'Scenario_Library'!E38))*(1-(MAX(-0.5,MIN(0.9,IFERROR('Hist_Financials'!D8/'Hist_Financials'!D6,0)+'Scenario_Library'!F38/10000))))*(MAX(0,IFERROR('Hist_Financials'!D22/'Hist_Financials'!D7*365,0)+'Scenario_Library'!J38))/365,0))-'Hist_Financials'!D22 )+( (IFERROR(('Hist_Financials'!D6*(1+'Scenario_Library'!E38))*(1-(MAX(-0.5,MIN(0.9,IFERROR('Hist_Financials'!D8/'Hist_Financials'!D6,0)+'Scenario_Library'!F38/10000))))*(MAX(0,IFERROR('Hist_Financials'!D28/'Hist_Financials'!D7*365,0)+'Scenario_Library'!K38))/365,0))-'Hist_Financials'!D28 ))-('Hist_Financials'!D36*(1-'Scenario_Library'!P38))-('Hist_Financials'!D37*(1-'Scenario_Library'!Q38))-('Hist_Financials'!D38*(1-'Scenario_Library'!R38))-('Hist_Financials'!D27*(1-'Scenario_Library'!M38))-('Hist_Financials'!D30*'Scenario_Library'!N38*(1-'Scenario_Library'!O38)))) )/MAX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,0.01),99))&lt;3,(IFERROR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/MAX(((MAX(0,IFERROR('Hist_Financials'!D14/MAX('Hist_Financials'!D27+'Hist_Financials'!D30,1),0)+'Scenario_Library'!L38/10000))*('Hist_Financials'!D27+'Hist_Financials'!D30)),0.01),999))&gt;='Scenario_Setup'!B12,('Hist_Financials'!D32+(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-(MAX(0,((((('Hist_Financials'!D6*(1+'Scenario_Library'!E38))*(MAX(-0.5,MIN(0.9,IFERROR('Hist_Financials'!D8/'Hist_Financials'!D6,0)+'Scenario_Library'!F38/10000))))-(MAX(0,'Hist_Financials'!D9*(1+'Scenario_Setup'!B9*('Scenario_Library'!E38)+('Scenario_Library'!G38))))-(MAX(0,'Hist_Financials'!D10*(1+'Scenario_Library'!H38))))-'Hist_Financials'!D12)-((MAX(0,IFERROR('Hist_Financials'!D14/MAX('Hist_Financials'!D27+'Hist_Financials'!D30,1),0)+'Scenario_Library'!L38/10000))*('Hist_Financials'!D27+'Hist_Financials'!D30))-('Hist_Financials'!D24*'Scenario_Library'!S38)-('Hist_Financials'!D25*'Scenario_Library'!T38)-('Hist_Financials'!D6*'Scenario_Library'!U38)))*'Scenario_Library'!V38))-('Hist_Financials'!D37*(1-'Scenario_Library'!Q38))-('Hist_Financials'!D38*(1-'Scenario_Library'!R38)))&gt;0),"RESILIENT","WATCH")))</f>
        <v/>
      </c>
    </row>
    <row r="36" ht="17" customHeight="1" s="28">
      <c r="B36" s="230">
        <f>'Scenario_Library'!A39</f>
        <v/>
      </c>
      <c r="C36" s="232" t="inlineStr">
        <is>
          <t>Severe</t>
        </is>
      </c>
      <c r="D36" s="221">
        <f>'Hist_Financials'!D6*(1+'Scenario_Library'!E39)</f>
        <v/>
      </c>
      <c r="E36" s="219">
        <f>('Hist_Financials'!D6*(1+'Scenario_Library'!E39))-'Hist_Financials'!D6</f>
        <v/>
      </c>
      <c r="F36" s="220">
        <f>IFERROR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/('Hist_Financials'!D6*(1+'Scenario_Library'!E39)),0)</f>
        <v/>
      </c>
      <c r="G36" s="221">
        <f>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</f>
        <v/>
      </c>
      <c r="H36" s="219">
        <f>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11</f>
        <v/>
      </c>
      <c r="I36" s="221">
        <f>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-(MAX(0,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)*'Scenario_Library'!V39)</f>
        <v/>
      </c>
      <c r="J36" s="221">
        <f>((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-(MAX(0,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)*'Scenario_Library'!V39))+'Hist_Financials'!D12+('Hist_Financials'!D24*'Scenario_Library'!S39)+('Hist_Financials'!D25*'Scenario_Library'!T39)-( (('Hist_Financials'!D6*(1+'Scenario_Library'!E39))*(MAX(0,IFERROR('Hist_Financials'!D21/'Hist_Financials'!D6*365,0)+'Scenario_Library'!I39))/365)-'Hist_Financials'!D21 )-( (IFERROR(('Hist_Financials'!D6*(1+'Scenario_Library'!E39))*(1-(MAX(-0.5,MIN(0.9,IFERROR('Hist_Financials'!D8/'Hist_Financials'!D6,0)+'Scenario_Library'!F39/10000))))*(MAX(0,IFERROR('Hist_Financials'!D22/'Hist_Financials'!D7*365,0)+'Scenario_Library'!J39))/365,0))-'Hist_Financials'!D22 )+( (IFERROR(('Hist_Financials'!D6*(1+'Scenario_Library'!E39))*(1-(MAX(-0.5,MIN(0.9,IFERROR('Hist_Financials'!D8/'Hist_Financials'!D6,0)+'Scenario_Library'!F39/10000))))*(MAX(0,IFERROR('Hist_Financials'!D28/'Hist_Financials'!D7*365,0)+'Scenario_Library'!K39))/365,0))-'Hist_Financials'!D28 ))-('Hist_Financials'!D36*(1-'Scenario_Library'!P39))</f>
        <v/>
      </c>
      <c r="K36" s="221">
        <f>MAX(0,'Hist_Financials'!D20+((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-(MAX(0,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)*'Scenario_Library'!V39))+'Hist_Financials'!D12+('Hist_Financials'!D24*'Scenario_Library'!S39)+('Hist_Financials'!D25*'Scenario_Library'!T39)-( (('Hist_Financials'!D6*(1+'Scenario_Library'!E39))*(MAX(0,IFERROR('Hist_Financials'!D21/'Hist_Financials'!D6*365,0)+'Scenario_Library'!I39))/365)-'Hist_Financials'!D21 )-( (IFERROR(('Hist_Financials'!D6*(1+'Scenario_Library'!E39))*(1-(MAX(-0.5,MIN(0.9,IFERROR('Hist_Financials'!D8/'Hist_Financials'!D6,0)+'Scenario_Library'!F39/10000))))*(MAX(0,IFERROR('Hist_Financials'!D22/'Hist_Financials'!D7*365,0)+'Scenario_Library'!J39))/365,0))-'Hist_Financials'!D22 )+( (IFERROR(('Hist_Financials'!D6*(1+'Scenario_Library'!E39))*(1-(MAX(-0.5,MIN(0.9,IFERROR('Hist_Financials'!D8/'Hist_Financials'!D6,0)+'Scenario_Library'!F39/10000))))*(MAX(0,IFERROR('Hist_Financials'!D28/'Hist_Financials'!D7*365,0)+'Scenario_Library'!K39))/365,0))-'Hist_Financials'!D28 ))-('Hist_Financials'!D36*(1-'Scenario_Library'!P39))-('Hist_Financials'!D37*(1-'Scenario_Library'!Q39))-('Hist_Financials'!D38*(1-'Scenario_Library'!R39))-('Hist_Financials'!D27*(1-'Scenario_Library'!M39))-('Hist_Financials'!D30*'Scenario_Library'!N39*(1-'Scenario_Library'!O39)))</f>
        <v/>
      </c>
      <c r="L36" s="222">
        <f>IF('Hist_Financials'!D6=0,"",IFERROR(( (('Hist_Financials'!D27-('Hist_Financials'!D27*(1-'Scenario_Library'!M39)))+('Hist_Financials'!D30-('Hist_Financials'!D30*'Scenario_Library'!N39*(1-'Scenario_Library'!O39))))-(MAX(0,'Hist_Financials'!D20+((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-(MAX(0,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)*'Scenario_Library'!V39))+'Hist_Financials'!D12+('Hist_Financials'!D24*'Scenario_Library'!S39)+('Hist_Financials'!D25*'Scenario_Library'!T39)-( (('Hist_Financials'!D6*(1+'Scenario_Library'!E39))*(MAX(0,IFERROR('Hist_Financials'!D21/'Hist_Financials'!D6*365,0)+'Scenario_Library'!I39))/365)-'Hist_Financials'!D21 )-( (IFERROR(('Hist_Financials'!D6*(1+'Scenario_Library'!E39))*(1-(MAX(-0.5,MIN(0.9,IFERROR('Hist_Financials'!D8/'Hist_Financials'!D6,0)+'Scenario_Library'!F39/10000))))*(MAX(0,IFERROR('Hist_Financials'!D22/'Hist_Financials'!D7*365,0)+'Scenario_Library'!J39))/365,0))-'Hist_Financials'!D22 )+( (IFERROR(('Hist_Financials'!D6*(1+'Scenario_Library'!E39))*(1-(MAX(-0.5,MIN(0.9,IFERROR('Hist_Financials'!D8/'Hist_Financials'!D6,0)+'Scenario_Library'!F39/10000))))*(MAX(0,IFERROR('Hist_Financials'!D28/'Hist_Financials'!D7*365,0)+'Scenario_Library'!K39))/365,0))-'Hist_Financials'!D28 ))-('Hist_Financials'!D36*(1-'Scenario_Library'!P39))-('Hist_Financials'!D37*(1-'Scenario_Library'!Q39))-('Hist_Financials'!D38*(1-'Scenario_Library'!R39))-('Hist_Financials'!D27*(1-'Scenario_Library'!M39))-('Hist_Financials'!D30*'Scenario_Library'!N39*(1-'Scenario_Library'!O39)))) )/MAX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,0.01),99))</f>
        <v/>
      </c>
      <c r="M36" s="222">
        <f>IF('Hist_Financials'!D6=0,"",IFERROR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/MAX(((MAX(0,IFERROR('Hist_Financials'!D14/MAX('Hist_Financials'!D27+'Hist_Financials'!D30,1),0)+'Scenario_Library'!L39/10000))*('Hist_Financials'!D27+'Hist_Financials'!D30)),0.01),999))</f>
        <v/>
      </c>
      <c r="N36" s="218">
        <f>IF('Hist_Financials'!D6=0,"— NO DATA —",IF(OR((IFERROR(( (('Hist_Financials'!D27-('Hist_Financials'!D27*(1-'Scenario_Library'!M39)))+('Hist_Financials'!D30-('Hist_Financials'!D30*'Scenario_Library'!N39*(1-'Scenario_Library'!O39))))-(MAX(0,'Hist_Financials'!D20+((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-(MAX(0,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)*'Scenario_Library'!V39))+'Hist_Financials'!D12+('Hist_Financials'!D24*'Scenario_Library'!S39)+('Hist_Financials'!D25*'Scenario_Library'!T39)-( (('Hist_Financials'!D6*(1+'Scenario_Library'!E39))*(MAX(0,IFERROR('Hist_Financials'!D21/'Hist_Financials'!D6*365,0)+'Scenario_Library'!I39))/365)-'Hist_Financials'!D21 )-( (IFERROR(('Hist_Financials'!D6*(1+'Scenario_Library'!E39))*(1-(MAX(-0.5,MIN(0.9,IFERROR('Hist_Financials'!D8/'Hist_Financials'!D6,0)+'Scenario_Library'!F39/10000))))*(MAX(0,IFERROR('Hist_Financials'!D22/'Hist_Financials'!D7*365,0)+'Scenario_Library'!J39))/365,0))-'Hist_Financials'!D22 )+( (IFERROR(('Hist_Financials'!D6*(1+'Scenario_Library'!E39))*(1-(MAX(-0.5,MIN(0.9,IFERROR('Hist_Financials'!D8/'Hist_Financials'!D6,0)+'Scenario_Library'!F39/10000))))*(MAX(0,IFERROR('Hist_Financials'!D28/'Hist_Financials'!D7*365,0)+'Scenario_Library'!K39))/365,0))-'Hist_Financials'!D28 ))-('Hist_Financials'!D36*(1-'Scenario_Library'!P39))-('Hist_Financials'!D37*(1-'Scenario_Library'!Q39))-('Hist_Financials'!D38*(1-'Scenario_Library'!R39))-('Hist_Financials'!D27*(1-'Scenario_Library'!M39))-('Hist_Financials'!D30*'Scenario_Library'!N39*(1-'Scenario_Library'!O39)))) )/MAX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,0.01),99))&gt;'Scenario_Setup'!B13,(IFERROR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/MAX(((MAX(0,IFERROR('Hist_Financials'!D14/MAX('Hist_Financials'!D27+'Hist_Financials'!D30,1),0)+'Scenario_Library'!L39/10000))*('Hist_Financials'!D27+'Hist_Financials'!D30)),0.01),999))&lt;'Scenario_Setup'!B12,('Hist_Financials'!D32+(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-(MAX(0,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)*'Scenario_Library'!V39))-('Hist_Financials'!D37*(1-'Scenario_Library'!Q39))-('Hist_Financials'!D38*(1-'Scenario_Library'!R39)))&lt;0,(((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-(MAX(0,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)*'Scenario_Library'!V39))+'Hist_Financials'!D12+('Hist_Financials'!D24*'Scenario_Library'!S39)+('Hist_Financials'!D25*'Scenario_Library'!T39)-( (('Hist_Financials'!D6*(1+'Scenario_Library'!E39))*(MAX(0,IFERROR('Hist_Financials'!D21/'Hist_Financials'!D6*365,0)+'Scenario_Library'!I39))/365)-'Hist_Financials'!D21 )-( (IFERROR(('Hist_Financials'!D6*(1+'Scenario_Library'!E39))*(1-(MAX(-0.5,MIN(0.9,IFERROR('Hist_Financials'!D8/'Hist_Financials'!D6,0)+'Scenario_Library'!F39/10000))))*(MAX(0,IFERROR('Hist_Financials'!D22/'Hist_Financials'!D7*365,0)+'Scenario_Library'!J39))/365,0))-'Hist_Financials'!D22 )+( (IFERROR(('Hist_Financials'!D6*(1+'Scenario_Library'!E39))*(1-(MAX(-0.5,MIN(0.9,IFERROR('Hist_Financials'!D8/'Hist_Financials'!D6,0)+'Scenario_Library'!F39/10000))))*(MAX(0,IFERROR('Hist_Financials'!D28/'Hist_Financials'!D7*365,0)+'Scenario_Library'!K39))/365,0))-'Hist_Financials'!D28 ))-('Hist_Financials'!D36*(1-'Scenario_Library'!P39)))&lt;-0.2*'Hist_Financials'!D6),"CRITICAL",IF(AND((((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-(MAX(0,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)*'Scenario_Library'!V39))+'Hist_Financials'!D12+('Hist_Financials'!D24*'Scenario_Library'!S39)+('Hist_Financials'!D25*'Scenario_Library'!T39)-( (('Hist_Financials'!D6*(1+'Scenario_Library'!E39))*(MAX(0,IFERROR('Hist_Financials'!D21/'Hist_Financials'!D6*365,0)+'Scenario_Library'!I39))/365)-'Hist_Financials'!D21 )-( (IFERROR(('Hist_Financials'!D6*(1+'Scenario_Library'!E39))*(1-(MAX(-0.5,MIN(0.9,IFERROR('Hist_Financials'!D8/'Hist_Financials'!D6,0)+'Scenario_Library'!F39/10000))))*(MAX(0,IFERROR('Hist_Financials'!D22/'Hist_Financials'!D7*365,0)+'Scenario_Library'!J39))/365,0))-'Hist_Financials'!D22 )+( (IFERROR(('Hist_Financials'!D6*(1+'Scenario_Library'!E39))*(1-(MAX(-0.5,MIN(0.9,IFERROR('Hist_Financials'!D8/'Hist_Financials'!D6,0)+'Scenario_Library'!F39/10000))))*(MAX(0,IFERROR('Hist_Financials'!D28/'Hist_Financials'!D7*365,0)+'Scenario_Library'!K39))/365,0))-'Hist_Financials'!D28 ))-('Hist_Financials'!D36*(1-'Scenario_Library'!P39)))&gt;=0,(IFERROR(( (('Hist_Financials'!D27-('Hist_Financials'!D27*(1-'Scenario_Library'!M39)))+('Hist_Financials'!D30-('Hist_Financials'!D30*'Scenario_Library'!N39*(1-'Scenario_Library'!O39))))-(MAX(0,'Hist_Financials'!D20+((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-(MAX(0,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)*'Scenario_Library'!V39))+'Hist_Financials'!D12+('Hist_Financials'!D24*'Scenario_Library'!S39)+('Hist_Financials'!D25*'Scenario_Library'!T39)-( (('Hist_Financials'!D6*(1+'Scenario_Library'!E39))*(MAX(0,IFERROR('Hist_Financials'!D21/'Hist_Financials'!D6*365,0)+'Scenario_Library'!I39))/365)-'Hist_Financials'!D21 )-( (IFERROR(('Hist_Financials'!D6*(1+'Scenario_Library'!E39))*(1-(MAX(-0.5,MIN(0.9,IFERROR('Hist_Financials'!D8/'Hist_Financials'!D6,0)+'Scenario_Library'!F39/10000))))*(MAX(0,IFERROR('Hist_Financials'!D22/'Hist_Financials'!D7*365,0)+'Scenario_Library'!J39))/365,0))-'Hist_Financials'!D22 )+( (IFERROR(('Hist_Financials'!D6*(1+'Scenario_Library'!E39))*(1-(MAX(-0.5,MIN(0.9,IFERROR('Hist_Financials'!D8/'Hist_Financials'!D6,0)+'Scenario_Library'!F39/10000))))*(MAX(0,IFERROR('Hist_Financials'!D28/'Hist_Financials'!D7*365,0)+'Scenario_Library'!K39))/365,0))-'Hist_Financials'!D28 ))-('Hist_Financials'!D36*(1-'Scenario_Library'!P39))-('Hist_Financials'!D37*(1-'Scenario_Library'!Q39))-('Hist_Financials'!D38*(1-'Scenario_Library'!R39))-('Hist_Financials'!D27*(1-'Scenario_Library'!M39))-('Hist_Financials'!D30*'Scenario_Library'!N39*(1-'Scenario_Library'!O39)))) )/MAX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,0.01),99))&lt;3,(IFERROR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/MAX(((MAX(0,IFERROR('Hist_Financials'!D14/MAX('Hist_Financials'!D27+'Hist_Financials'!D30,1),0)+'Scenario_Library'!L39/10000))*('Hist_Financials'!D27+'Hist_Financials'!D30)),0.01),999))&gt;='Scenario_Setup'!B12,('Hist_Financials'!D32+(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-(MAX(0,((((('Hist_Financials'!D6*(1+'Scenario_Library'!E39))*(MAX(-0.5,MIN(0.9,IFERROR('Hist_Financials'!D8/'Hist_Financials'!D6,0)+'Scenario_Library'!F39/10000))))-(MAX(0,'Hist_Financials'!D9*(1+'Scenario_Setup'!B9*('Scenario_Library'!E39)+('Scenario_Library'!G39))))-(MAX(0,'Hist_Financials'!D10*(1+'Scenario_Library'!H39))))-'Hist_Financials'!D12)-((MAX(0,IFERROR('Hist_Financials'!D14/MAX('Hist_Financials'!D27+'Hist_Financials'!D30,1),0)+'Scenario_Library'!L39/10000))*('Hist_Financials'!D27+'Hist_Financials'!D30))-('Hist_Financials'!D24*'Scenario_Library'!S39)-('Hist_Financials'!D25*'Scenario_Library'!T39)-('Hist_Financials'!D6*'Scenario_Library'!U39)))*'Scenario_Library'!V39))-('Hist_Financials'!D37*(1-'Scenario_Library'!Q39))-('Hist_Financials'!D38*(1-'Scenario_Library'!R39)))&gt;0),"RESILIENT","WATCH")))</f>
        <v/>
      </c>
    </row>
    <row r="37" ht="17" customHeight="1" s="28">
      <c r="B37" s="223">
        <f>'Scenario_Library'!A40</f>
        <v/>
      </c>
      <c r="C37" s="224" t="inlineStr">
        <is>
          <t>Light</t>
        </is>
      </c>
      <c r="D37" s="225">
        <f>'Hist_Financials'!D6*(1+'Scenario_Library'!E40)</f>
        <v/>
      </c>
      <c r="E37" s="226">
        <f>('Hist_Financials'!D6*(1+'Scenario_Library'!E40))-'Hist_Financials'!D6</f>
        <v/>
      </c>
      <c r="F37" s="227">
        <f>IFERROR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/('Hist_Financials'!D6*(1+'Scenario_Library'!E40)),0)</f>
        <v/>
      </c>
      <c r="G37" s="225">
        <f>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</f>
        <v/>
      </c>
      <c r="H37" s="226">
        <f>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11</f>
        <v/>
      </c>
      <c r="I37" s="225">
        <f>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-(MAX(0,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)*'Scenario_Library'!V40)</f>
        <v/>
      </c>
      <c r="J37" s="225">
        <f>((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-(MAX(0,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)*'Scenario_Library'!V40))+'Hist_Financials'!D12+('Hist_Financials'!D24*'Scenario_Library'!S40)+('Hist_Financials'!D25*'Scenario_Library'!T40)-( (('Hist_Financials'!D6*(1+'Scenario_Library'!E40))*(MAX(0,IFERROR('Hist_Financials'!D21/'Hist_Financials'!D6*365,0)+'Scenario_Library'!I40))/365)-'Hist_Financials'!D21 )-( (IFERROR(('Hist_Financials'!D6*(1+'Scenario_Library'!E40))*(1-(MAX(-0.5,MIN(0.9,IFERROR('Hist_Financials'!D8/'Hist_Financials'!D6,0)+'Scenario_Library'!F40/10000))))*(MAX(0,IFERROR('Hist_Financials'!D22/'Hist_Financials'!D7*365,0)+'Scenario_Library'!J40))/365,0))-'Hist_Financials'!D22 )+( (IFERROR(('Hist_Financials'!D6*(1+'Scenario_Library'!E40))*(1-(MAX(-0.5,MIN(0.9,IFERROR('Hist_Financials'!D8/'Hist_Financials'!D6,0)+'Scenario_Library'!F40/10000))))*(MAX(0,IFERROR('Hist_Financials'!D28/'Hist_Financials'!D7*365,0)+'Scenario_Library'!K40))/365,0))-'Hist_Financials'!D28 ))-('Hist_Financials'!D36*(1-'Scenario_Library'!P40))</f>
        <v/>
      </c>
      <c r="K37" s="225">
        <f>MAX(0,'Hist_Financials'!D20+((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-(MAX(0,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)*'Scenario_Library'!V40))+'Hist_Financials'!D12+('Hist_Financials'!D24*'Scenario_Library'!S40)+('Hist_Financials'!D25*'Scenario_Library'!T40)-( (('Hist_Financials'!D6*(1+'Scenario_Library'!E40))*(MAX(0,IFERROR('Hist_Financials'!D21/'Hist_Financials'!D6*365,0)+'Scenario_Library'!I40))/365)-'Hist_Financials'!D21 )-( (IFERROR(('Hist_Financials'!D6*(1+'Scenario_Library'!E40))*(1-(MAX(-0.5,MIN(0.9,IFERROR('Hist_Financials'!D8/'Hist_Financials'!D6,0)+'Scenario_Library'!F40/10000))))*(MAX(0,IFERROR('Hist_Financials'!D22/'Hist_Financials'!D7*365,0)+'Scenario_Library'!J40))/365,0))-'Hist_Financials'!D22 )+( (IFERROR(('Hist_Financials'!D6*(1+'Scenario_Library'!E40))*(1-(MAX(-0.5,MIN(0.9,IFERROR('Hist_Financials'!D8/'Hist_Financials'!D6,0)+'Scenario_Library'!F40/10000))))*(MAX(0,IFERROR('Hist_Financials'!D28/'Hist_Financials'!D7*365,0)+'Scenario_Library'!K40))/365,0))-'Hist_Financials'!D28 ))-('Hist_Financials'!D36*(1-'Scenario_Library'!P40))-('Hist_Financials'!D37*(1-'Scenario_Library'!Q40))-('Hist_Financials'!D38*(1-'Scenario_Library'!R40))-('Hist_Financials'!D27*(1-'Scenario_Library'!M40))-('Hist_Financials'!D30*'Scenario_Library'!N40*(1-'Scenario_Library'!O40)))</f>
        <v/>
      </c>
      <c r="L37" s="228">
        <f>IF('Hist_Financials'!D6=0,"",IFERROR(( (('Hist_Financials'!D27-('Hist_Financials'!D27*(1-'Scenario_Library'!M40)))+('Hist_Financials'!D30-('Hist_Financials'!D30*'Scenario_Library'!N40*(1-'Scenario_Library'!O40))))-(MAX(0,'Hist_Financials'!D20+((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-(MAX(0,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)*'Scenario_Library'!V40))+'Hist_Financials'!D12+('Hist_Financials'!D24*'Scenario_Library'!S40)+('Hist_Financials'!D25*'Scenario_Library'!T40)-( (('Hist_Financials'!D6*(1+'Scenario_Library'!E40))*(MAX(0,IFERROR('Hist_Financials'!D21/'Hist_Financials'!D6*365,0)+'Scenario_Library'!I40))/365)-'Hist_Financials'!D21 )-( (IFERROR(('Hist_Financials'!D6*(1+'Scenario_Library'!E40))*(1-(MAX(-0.5,MIN(0.9,IFERROR('Hist_Financials'!D8/'Hist_Financials'!D6,0)+'Scenario_Library'!F40/10000))))*(MAX(0,IFERROR('Hist_Financials'!D22/'Hist_Financials'!D7*365,0)+'Scenario_Library'!J40))/365,0))-'Hist_Financials'!D22 )+( (IFERROR(('Hist_Financials'!D6*(1+'Scenario_Library'!E40))*(1-(MAX(-0.5,MIN(0.9,IFERROR('Hist_Financials'!D8/'Hist_Financials'!D6,0)+'Scenario_Library'!F40/10000))))*(MAX(0,IFERROR('Hist_Financials'!D28/'Hist_Financials'!D7*365,0)+'Scenario_Library'!K40))/365,0))-'Hist_Financials'!D28 ))-('Hist_Financials'!D36*(1-'Scenario_Library'!P40))-('Hist_Financials'!D37*(1-'Scenario_Library'!Q40))-('Hist_Financials'!D38*(1-'Scenario_Library'!R40))-('Hist_Financials'!D27*(1-'Scenario_Library'!M40))-('Hist_Financials'!D30*'Scenario_Library'!N40*(1-'Scenario_Library'!O40)))) )/MAX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,0.01),99))</f>
        <v/>
      </c>
      <c r="M37" s="228">
        <f>IF('Hist_Financials'!D6=0,"",IFERROR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/MAX(((MAX(0,IFERROR('Hist_Financials'!D14/MAX('Hist_Financials'!D27+'Hist_Financials'!D30,1),0)+'Scenario_Library'!L40/10000))*('Hist_Financials'!D27+'Hist_Financials'!D30)),0.01),999))</f>
        <v/>
      </c>
      <c r="N37" s="229">
        <f>IF('Hist_Financials'!D6=0,"— NO DATA —",IF(OR((IFERROR(( (('Hist_Financials'!D27-('Hist_Financials'!D27*(1-'Scenario_Library'!M40)))+('Hist_Financials'!D30-('Hist_Financials'!D30*'Scenario_Library'!N40*(1-'Scenario_Library'!O40))))-(MAX(0,'Hist_Financials'!D20+((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-(MAX(0,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)*'Scenario_Library'!V40))+'Hist_Financials'!D12+('Hist_Financials'!D24*'Scenario_Library'!S40)+('Hist_Financials'!D25*'Scenario_Library'!T40)-( (('Hist_Financials'!D6*(1+'Scenario_Library'!E40))*(MAX(0,IFERROR('Hist_Financials'!D21/'Hist_Financials'!D6*365,0)+'Scenario_Library'!I40))/365)-'Hist_Financials'!D21 )-( (IFERROR(('Hist_Financials'!D6*(1+'Scenario_Library'!E40))*(1-(MAX(-0.5,MIN(0.9,IFERROR('Hist_Financials'!D8/'Hist_Financials'!D6,0)+'Scenario_Library'!F40/10000))))*(MAX(0,IFERROR('Hist_Financials'!D22/'Hist_Financials'!D7*365,0)+'Scenario_Library'!J40))/365,0))-'Hist_Financials'!D22 )+( (IFERROR(('Hist_Financials'!D6*(1+'Scenario_Library'!E40))*(1-(MAX(-0.5,MIN(0.9,IFERROR('Hist_Financials'!D8/'Hist_Financials'!D6,0)+'Scenario_Library'!F40/10000))))*(MAX(0,IFERROR('Hist_Financials'!D28/'Hist_Financials'!D7*365,0)+'Scenario_Library'!K40))/365,0))-'Hist_Financials'!D28 ))-('Hist_Financials'!D36*(1-'Scenario_Library'!P40))-('Hist_Financials'!D37*(1-'Scenario_Library'!Q40))-('Hist_Financials'!D38*(1-'Scenario_Library'!R40))-('Hist_Financials'!D27*(1-'Scenario_Library'!M40))-('Hist_Financials'!D30*'Scenario_Library'!N40*(1-'Scenario_Library'!O40)))) )/MAX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,0.01),99))&gt;'Scenario_Setup'!B13,(IFERROR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/MAX(((MAX(0,IFERROR('Hist_Financials'!D14/MAX('Hist_Financials'!D27+'Hist_Financials'!D30,1),0)+'Scenario_Library'!L40/10000))*('Hist_Financials'!D27+'Hist_Financials'!D30)),0.01),999))&lt;'Scenario_Setup'!B12,('Hist_Financials'!D32+(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-(MAX(0,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)*'Scenario_Library'!V40))-('Hist_Financials'!D37*(1-'Scenario_Library'!Q40))-('Hist_Financials'!D38*(1-'Scenario_Library'!R40)))&lt;0,(((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-(MAX(0,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)*'Scenario_Library'!V40))+'Hist_Financials'!D12+('Hist_Financials'!D24*'Scenario_Library'!S40)+('Hist_Financials'!D25*'Scenario_Library'!T40)-( (('Hist_Financials'!D6*(1+'Scenario_Library'!E40))*(MAX(0,IFERROR('Hist_Financials'!D21/'Hist_Financials'!D6*365,0)+'Scenario_Library'!I40))/365)-'Hist_Financials'!D21 )-( (IFERROR(('Hist_Financials'!D6*(1+'Scenario_Library'!E40))*(1-(MAX(-0.5,MIN(0.9,IFERROR('Hist_Financials'!D8/'Hist_Financials'!D6,0)+'Scenario_Library'!F40/10000))))*(MAX(0,IFERROR('Hist_Financials'!D22/'Hist_Financials'!D7*365,0)+'Scenario_Library'!J40))/365,0))-'Hist_Financials'!D22 )+( (IFERROR(('Hist_Financials'!D6*(1+'Scenario_Library'!E40))*(1-(MAX(-0.5,MIN(0.9,IFERROR('Hist_Financials'!D8/'Hist_Financials'!D6,0)+'Scenario_Library'!F40/10000))))*(MAX(0,IFERROR('Hist_Financials'!D28/'Hist_Financials'!D7*365,0)+'Scenario_Library'!K40))/365,0))-'Hist_Financials'!D28 ))-('Hist_Financials'!D36*(1-'Scenario_Library'!P40)))&lt;-0.2*'Hist_Financials'!D6),"CRITICAL",IF(AND((((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-(MAX(0,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)*'Scenario_Library'!V40))+'Hist_Financials'!D12+('Hist_Financials'!D24*'Scenario_Library'!S40)+('Hist_Financials'!D25*'Scenario_Library'!T40)-( (('Hist_Financials'!D6*(1+'Scenario_Library'!E40))*(MAX(0,IFERROR('Hist_Financials'!D21/'Hist_Financials'!D6*365,0)+'Scenario_Library'!I40))/365)-'Hist_Financials'!D21 )-( (IFERROR(('Hist_Financials'!D6*(1+'Scenario_Library'!E40))*(1-(MAX(-0.5,MIN(0.9,IFERROR('Hist_Financials'!D8/'Hist_Financials'!D6,0)+'Scenario_Library'!F40/10000))))*(MAX(0,IFERROR('Hist_Financials'!D22/'Hist_Financials'!D7*365,0)+'Scenario_Library'!J40))/365,0))-'Hist_Financials'!D22 )+( (IFERROR(('Hist_Financials'!D6*(1+'Scenario_Library'!E40))*(1-(MAX(-0.5,MIN(0.9,IFERROR('Hist_Financials'!D8/'Hist_Financials'!D6,0)+'Scenario_Library'!F40/10000))))*(MAX(0,IFERROR('Hist_Financials'!D28/'Hist_Financials'!D7*365,0)+'Scenario_Library'!K40))/365,0))-'Hist_Financials'!D28 ))-('Hist_Financials'!D36*(1-'Scenario_Library'!P40)))&gt;=0,(IFERROR(( (('Hist_Financials'!D27-('Hist_Financials'!D27*(1-'Scenario_Library'!M40)))+('Hist_Financials'!D30-('Hist_Financials'!D30*'Scenario_Library'!N40*(1-'Scenario_Library'!O40))))-(MAX(0,'Hist_Financials'!D20+((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-(MAX(0,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)*'Scenario_Library'!V40))+'Hist_Financials'!D12+('Hist_Financials'!D24*'Scenario_Library'!S40)+('Hist_Financials'!D25*'Scenario_Library'!T40)-( (('Hist_Financials'!D6*(1+'Scenario_Library'!E40))*(MAX(0,IFERROR('Hist_Financials'!D21/'Hist_Financials'!D6*365,0)+'Scenario_Library'!I40))/365)-'Hist_Financials'!D21 )-( (IFERROR(('Hist_Financials'!D6*(1+'Scenario_Library'!E40))*(1-(MAX(-0.5,MIN(0.9,IFERROR('Hist_Financials'!D8/'Hist_Financials'!D6,0)+'Scenario_Library'!F40/10000))))*(MAX(0,IFERROR('Hist_Financials'!D22/'Hist_Financials'!D7*365,0)+'Scenario_Library'!J40))/365,0))-'Hist_Financials'!D22 )+( (IFERROR(('Hist_Financials'!D6*(1+'Scenario_Library'!E40))*(1-(MAX(-0.5,MIN(0.9,IFERROR('Hist_Financials'!D8/'Hist_Financials'!D6,0)+'Scenario_Library'!F40/10000))))*(MAX(0,IFERROR('Hist_Financials'!D28/'Hist_Financials'!D7*365,0)+'Scenario_Library'!K40))/365,0))-'Hist_Financials'!D28 ))-('Hist_Financials'!D36*(1-'Scenario_Library'!P40))-('Hist_Financials'!D37*(1-'Scenario_Library'!Q40))-('Hist_Financials'!D38*(1-'Scenario_Library'!R40))-('Hist_Financials'!D27*(1-'Scenario_Library'!M40))-('Hist_Financials'!D30*'Scenario_Library'!N40*(1-'Scenario_Library'!O40)))) )/MAX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,0.01),99))&lt;3,(IFERROR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/MAX(((MAX(0,IFERROR('Hist_Financials'!D14/MAX('Hist_Financials'!D27+'Hist_Financials'!D30,1),0)+'Scenario_Library'!L40/10000))*('Hist_Financials'!D27+'Hist_Financials'!D30)),0.01),999))&gt;='Scenario_Setup'!B12,('Hist_Financials'!D32+(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-(MAX(0,((((('Hist_Financials'!D6*(1+'Scenario_Library'!E40))*(MAX(-0.5,MIN(0.9,IFERROR('Hist_Financials'!D8/'Hist_Financials'!D6,0)+'Scenario_Library'!F40/10000))))-(MAX(0,'Hist_Financials'!D9*(1+'Scenario_Setup'!B9*('Scenario_Library'!E40)+('Scenario_Library'!G40))))-(MAX(0,'Hist_Financials'!D10*(1+'Scenario_Library'!H40))))-'Hist_Financials'!D12)-((MAX(0,IFERROR('Hist_Financials'!D14/MAX('Hist_Financials'!D27+'Hist_Financials'!D30,1),0)+'Scenario_Library'!L40/10000))*('Hist_Financials'!D27+'Hist_Financials'!D30))-('Hist_Financials'!D24*'Scenario_Library'!S40)-('Hist_Financials'!D25*'Scenario_Library'!T40)-('Hist_Financials'!D6*'Scenario_Library'!U40)))*'Scenario_Library'!V40))-('Hist_Financials'!D37*(1-'Scenario_Library'!Q40))-('Hist_Financials'!D38*(1-'Scenario_Library'!R40)))&gt;0),"RESILIENT","WATCH")))</f>
        <v/>
      </c>
    </row>
    <row r="38" ht="17" customHeight="1" s="28">
      <c r="B38" s="230">
        <f>'Scenario_Library'!A41</f>
        <v/>
      </c>
      <c r="C38" s="231" t="inlineStr">
        <is>
          <t>Base</t>
        </is>
      </c>
      <c r="D38" s="215">
        <f>'Hist_Financials'!D6*(1+'Scenario_Library'!E41)</f>
        <v/>
      </c>
      <c r="E38" s="213">
        <f>('Hist_Financials'!D6*(1+'Scenario_Library'!E41))-'Hist_Financials'!D6</f>
        <v/>
      </c>
      <c r="F38" s="214">
        <f>IFERROR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/('Hist_Financials'!D6*(1+'Scenario_Library'!E41)),0)</f>
        <v/>
      </c>
      <c r="G38" s="215">
        <f>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</f>
        <v/>
      </c>
      <c r="H38" s="213">
        <f>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11</f>
        <v/>
      </c>
      <c r="I38" s="215">
        <f>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-(MAX(0,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)*'Scenario_Library'!V41)</f>
        <v/>
      </c>
      <c r="J38" s="215">
        <f>((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-(MAX(0,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)*'Scenario_Library'!V41))+'Hist_Financials'!D12+('Hist_Financials'!D24*'Scenario_Library'!S41)+('Hist_Financials'!D25*'Scenario_Library'!T41)-( (('Hist_Financials'!D6*(1+'Scenario_Library'!E41))*(MAX(0,IFERROR('Hist_Financials'!D21/'Hist_Financials'!D6*365,0)+'Scenario_Library'!I41))/365)-'Hist_Financials'!D21 )-( (IFERROR(('Hist_Financials'!D6*(1+'Scenario_Library'!E41))*(1-(MAX(-0.5,MIN(0.9,IFERROR('Hist_Financials'!D8/'Hist_Financials'!D6,0)+'Scenario_Library'!F41/10000))))*(MAX(0,IFERROR('Hist_Financials'!D22/'Hist_Financials'!D7*365,0)+'Scenario_Library'!J41))/365,0))-'Hist_Financials'!D22 )+( (IFERROR(('Hist_Financials'!D6*(1+'Scenario_Library'!E41))*(1-(MAX(-0.5,MIN(0.9,IFERROR('Hist_Financials'!D8/'Hist_Financials'!D6,0)+'Scenario_Library'!F41/10000))))*(MAX(0,IFERROR('Hist_Financials'!D28/'Hist_Financials'!D7*365,0)+'Scenario_Library'!K41))/365,0))-'Hist_Financials'!D28 ))-('Hist_Financials'!D36*(1-'Scenario_Library'!P41))</f>
        <v/>
      </c>
      <c r="K38" s="215">
        <f>MAX(0,'Hist_Financials'!D20+((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-(MAX(0,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)*'Scenario_Library'!V41))+'Hist_Financials'!D12+('Hist_Financials'!D24*'Scenario_Library'!S41)+('Hist_Financials'!D25*'Scenario_Library'!T41)-( (('Hist_Financials'!D6*(1+'Scenario_Library'!E41))*(MAX(0,IFERROR('Hist_Financials'!D21/'Hist_Financials'!D6*365,0)+'Scenario_Library'!I41))/365)-'Hist_Financials'!D21 )-( (IFERROR(('Hist_Financials'!D6*(1+'Scenario_Library'!E41))*(1-(MAX(-0.5,MIN(0.9,IFERROR('Hist_Financials'!D8/'Hist_Financials'!D6,0)+'Scenario_Library'!F41/10000))))*(MAX(0,IFERROR('Hist_Financials'!D22/'Hist_Financials'!D7*365,0)+'Scenario_Library'!J41))/365,0))-'Hist_Financials'!D22 )+( (IFERROR(('Hist_Financials'!D6*(1+'Scenario_Library'!E41))*(1-(MAX(-0.5,MIN(0.9,IFERROR('Hist_Financials'!D8/'Hist_Financials'!D6,0)+'Scenario_Library'!F41/10000))))*(MAX(0,IFERROR('Hist_Financials'!D28/'Hist_Financials'!D7*365,0)+'Scenario_Library'!K41))/365,0))-'Hist_Financials'!D28 ))-('Hist_Financials'!D36*(1-'Scenario_Library'!P41))-('Hist_Financials'!D37*(1-'Scenario_Library'!Q41))-('Hist_Financials'!D38*(1-'Scenario_Library'!R41))-('Hist_Financials'!D27*(1-'Scenario_Library'!M41))-('Hist_Financials'!D30*'Scenario_Library'!N41*(1-'Scenario_Library'!O41)))</f>
        <v/>
      </c>
      <c r="L38" s="216">
        <f>IF('Hist_Financials'!D6=0,"",IFERROR(( (('Hist_Financials'!D27-('Hist_Financials'!D27*(1-'Scenario_Library'!M41)))+('Hist_Financials'!D30-('Hist_Financials'!D30*'Scenario_Library'!N41*(1-'Scenario_Library'!O41))))-(MAX(0,'Hist_Financials'!D20+((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-(MAX(0,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)*'Scenario_Library'!V41))+'Hist_Financials'!D12+('Hist_Financials'!D24*'Scenario_Library'!S41)+('Hist_Financials'!D25*'Scenario_Library'!T41)-( (('Hist_Financials'!D6*(1+'Scenario_Library'!E41))*(MAX(0,IFERROR('Hist_Financials'!D21/'Hist_Financials'!D6*365,0)+'Scenario_Library'!I41))/365)-'Hist_Financials'!D21 )-( (IFERROR(('Hist_Financials'!D6*(1+'Scenario_Library'!E41))*(1-(MAX(-0.5,MIN(0.9,IFERROR('Hist_Financials'!D8/'Hist_Financials'!D6,0)+'Scenario_Library'!F41/10000))))*(MAX(0,IFERROR('Hist_Financials'!D22/'Hist_Financials'!D7*365,0)+'Scenario_Library'!J41))/365,0))-'Hist_Financials'!D22 )+( (IFERROR(('Hist_Financials'!D6*(1+'Scenario_Library'!E41))*(1-(MAX(-0.5,MIN(0.9,IFERROR('Hist_Financials'!D8/'Hist_Financials'!D6,0)+'Scenario_Library'!F41/10000))))*(MAX(0,IFERROR('Hist_Financials'!D28/'Hist_Financials'!D7*365,0)+'Scenario_Library'!K41))/365,0))-'Hist_Financials'!D28 ))-('Hist_Financials'!D36*(1-'Scenario_Library'!P41))-('Hist_Financials'!D37*(1-'Scenario_Library'!Q41))-('Hist_Financials'!D38*(1-'Scenario_Library'!R41))-('Hist_Financials'!D27*(1-'Scenario_Library'!M41))-('Hist_Financials'!D30*'Scenario_Library'!N41*(1-'Scenario_Library'!O41)))) )/MAX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,0.01),99))</f>
        <v/>
      </c>
      <c r="M38" s="216">
        <f>IF('Hist_Financials'!D6=0,"",IFERROR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/MAX(((MAX(0,IFERROR('Hist_Financials'!D14/MAX('Hist_Financials'!D27+'Hist_Financials'!D30,1),0)+'Scenario_Library'!L41/10000))*('Hist_Financials'!D27+'Hist_Financials'!D30)),0.01),999))</f>
        <v/>
      </c>
      <c r="N38" s="212">
        <f>IF('Hist_Financials'!D6=0,"— NO DATA —",IF(OR((IFERROR(( (('Hist_Financials'!D27-('Hist_Financials'!D27*(1-'Scenario_Library'!M41)))+('Hist_Financials'!D30-('Hist_Financials'!D30*'Scenario_Library'!N41*(1-'Scenario_Library'!O41))))-(MAX(0,'Hist_Financials'!D20+((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-(MAX(0,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)*'Scenario_Library'!V41))+'Hist_Financials'!D12+('Hist_Financials'!D24*'Scenario_Library'!S41)+('Hist_Financials'!D25*'Scenario_Library'!T41)-( (('Hist_Financials'!D6*(1+'Scenario_Library'!E41))*(MAX(0,IFERROR('Hist_Financials'!D21/'Hist_Financials'!D6*365,0)+'Scenario_Library'!I41))/365)-'Hist_Financials'!D21 )-( (IFERROR(('Hist_Financials'!D6*(1+'Scenario_Library'!E41))*(1-(MAX(-0.5,MIN(0.9,IFERROR('Hist_Financials'!D8/'Hist_Financials'!D6,0)+'Scenario_Library'!F41/10000))))*(MAX(0,IFERROR('Hist_Financials'!D22/'Hist_Financials'!D7*365,0)+'Scenario_Library'!J41))/365,0))-'Hist_Financials'!D22 )+( (IFERROR(('Hist_Financials'!D6*(1+'Scenario_Library'!E41))*(1-(MAX(-0.5,MIN(0.9,IFERROR('Hist_Financials'!D8/'Hist_Financials'!D6,0)+'Scenario_Library'!F41/10000))))*(MAX(0,IFERROR('Hist_Financials'!D28/'Hist_Financials'!D7*365,0)+'Scenario_Library'!K41))/365,0))-'Hist_Financials'!D28 ))-('Hist_Financials'!D36*(1-'Scenario_Library'!P41))-('Hist_Financials'!D37*(1-'Scenario_Library'!Q41))-('Hist_Financials'!D38*(1-'Scenario_Library'!R41))-('Hist_Financials'!D27*(1-'Scenario_Library'!M41))-('Hist_Financials'!D30*'Scenario_Library'!N41*(1-'Scenario_Library'!O41)))) )/MAX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,0.01),99))&gt;'Scenario_Setup'!B13,(IFERROR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/MAX(((MAX(0,IFERROR('Hist_Financials'!D14/MAX('Hist_Financials'!D27+'Hist_Financials'!D30,1),0)+'Scenario_Library'!L41/10000))*('Hist_Financials'!D27+'Hist_Financials'!D30)),0.01),999))&lt;'Scenario_Setup'!B12,('Hist_Financials'!D32+(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-(MAX(0,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)*'Scenario_Library'!V41))-('Hist_Financials'!D37*(1-'Scenario_Library'!Q41))-('Hist_Financials'!D38*(1-'Scenario_Library'!R41)))&lt;0,(((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-(MAX(0,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)*'Scenario_Library'!V41))+'Hist_Financials'!D12+('Hist_Financials'!D24*'Scenario_Library'!S41)+('Hist_Financials'!D25*'Scenario_Library'!T41)-( (('Hist_Financials'!D6*(1+'Scenario_Library'!E41))*(MAX(0,IFERROR('Hist_Financials'!D21/'Hist_Financials'!D6*365,0)+'Scenario_Library'!I41))/365)-'Hist_Financials'!D21 )-( (IFERROR(('Hist_Financials'!D6*(1+'Scenario_Library'!E41))*(1-(MAX(-0.5,MIN(0.9,IFERROR('Hist_Financials'!D8/'Hist_Financials'!D6,0)+'Scenario_Library'!F41/10000))))*(MAX(0,IFERROR('Hist_Financials'!D22/'Hist_Financials'!D7*365,0)+'Scenario_Library'!J41))/365,0))-'Hist_Financials'!D22 )+( (IFERROR(('Hist_Financials'!D6*(1+'Scenario_Library'!E41))*(1-(MAX(-0.5,MIN(0.9,IFERROR('Hist_Financials'!D8/'Hist_Financials'!D6,0)+'Scenario_Library'!F41/10000))))*(MAX(0,IFERROR('Hist_Financials'!D28/'Hist_Financials'!D7*365,0)+'Scenario_Library'!K41))/365,0))-'Hist_Financials'!D28 ))-('Hist_Financials'!D36*(1-'Scenario_Library'!P41)))&lt;-0.2*'Hist_Financials'!D6),"CRITICAL",IF(AND((((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-(MAX(0,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)*'Scenario_Library'!V41))+'Hist_Financials'!D12+('Hist_Financials'!D24*'Scenario_Library'!S41)+('Hist_Financials'!D25*'Scenario_Library'!T41)-( (('Hist_Financials'!D6*(1+'Scenario_Library'!E41))*(MAX(0,IFERROR('Hist_Financials'!D21/'Hist_Financials'!D6*365,0)+'Scenario_Library'!I41))/365)-'Hist_Financials'!D21 )-( (IFERROR(('Hist_Financials'!D6*(1+'Scenario_Library'!E41))*(1-(MAX(-0.5,MIN(0.9,IFERROR('Hist_Financials'!D8/'Hist_Financials'!D6,0)+'Scenario_Library'!F41/10000))))*(MAX(0,IFERROR('Hist_Financials'!D22/'Hist_Financials'!D7*365,0)+'Scenario_Library'!J41))/365,0))-'Hist_Financials'!D22 )+( (IFERROR(('Hist_Financials'!D6*(1+'Scenario_Library'!E41))*(1-(MAX(-0.5,MIN(0.9,IFERROR('Hist_Financials'!D8/'Hist_Financials'!D6,0)+'Scenario_Library'!F41/10000))))*(MAX(0,IFERROR('Hist_Financials'!D28/'Hist_Financials'!D7*365,0)+'Scenario_Library'!K41))/365,0))-'Hist_Financials'!D28 ))-('Hist_Financials'!D36*(1-'Scenario_Library'!P41)))&gt;=0,(IFERROR(( (('Hist_Financials'!D27-('Hist_Financials'!D27*(1-'Scenario_Library'!M41)))+('Hist_Financials'!D30-('Hist_Financials'!D30*'Scenario_Library'!N41*(1-'Scenario_Library'!O41))))-(MAX(0,'Hist_Financials'!D20+((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-(MAX(0,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)*'Scenario_Library'!V41))+'Hist_Financials'!D12+('Hist_Financials'!D24*'Scenario_Library'!S41)+('Hist_Financials'!D25*'Scenario_Library'!T41)-( (('Hist_Financials'!D6*(1+'Scenario_Library'!E41))*(MAX(0,IFERROR('Hist_Financials'!D21/'Hist_Financials'!D6*365,0)+'Scenario_Library'!I41))/365)-'Hist_Financials'!D21 )-( (IFERROR(('Hist_Financials'!D6*(1+'Scenario_Library'!E41))*(1-(MAX(-0.5,MIN(0.9,IFERROR('Hist_Financials'!D8/'Hist_Financials'!D6,0)+'Scenario_Library'!F41/10000))))*(MAX(0,IFERROR('Hist_Financials'!D22/'Hist_Financials'!D7*365,0)+'Scenario_Library'!J41))/365,0))-'Hist_Financials'!D22 )+( (IFERROR(('Hist_Financials'!D6*(1+'Scenario_Library'!E41))*(1-(MAX(-0.5,MIN(0.9,IFERROR('Hist_Financials'!D8/'Hist_Financials'!D6,0)+'Scenario_Library'!F41/10000))))*(MAX(0,IFERROR('Hist_Financials'!D28/'Hist_Financials'!D7*365,0)+'Scenario_Library'!K41))/365,0))-'Hist_Financials'!D28 ))-('Hist_Financials'!D36*(1-'Scenario_Library'!P41))-('Hist_Financials'!D37*(1-'Scenario_Library'!Q41))-('Hist_Financials'!D38*(1-'Scenario_Library'!R41))-('Hist_Financials'!D27*(1-'Scenario_Library'!M41))-('Hist_Financials'!D30*'Scenario_Library'!N41*(1-'Scenario_Library'!O41)))) )/MAX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,0.01),99))&lt;3,(IFERROR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/MAX(((MAX(0,IFERROR('Hist_Financials'!D14/MAX('Hist_Financials'!D27+'Hist_Financials'!D30,1),0)+'Scenario_Library'!L41/10000))*('Hist_Financials'!D27+'Hist_Financials'!D30)),0.01),999))&gt;='Scenario_Setup'!B12,('Hist_Financials'!D32+(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-(MAX(0,((((('Hist_Financials'!D6*(1+'Scenario_Library'!E41))*(MAX(-0.5,MIN(0.9,IFERROR('Hist_Financials'!D8/'Hist_Financials'!D6,0)+'Scenario_Library'!F41/10000))))-(MAX(0,'Hist_Financials'!D9*(1+'Scenario_Setup'!B9*('Scenario_Library'!E41)+('Scenario_Library'!G41))))-(MAX(0,'Hist_Financials'!D10*(1+'Scenario_Library'!H41))))-'Hist_Financials'!D12)-((MAX(0,IFERROR('Hist_Financials'!D14/MAX('Hist_Financials'!D27+'Hist_Financials'!D30,1),0)+'Scenario_Library'!L41/10000))*('Hist_Financials'!D27+'Hist_Financials'!D30))-('Hist_Financials'!D24*'Scenario_Library'!S41)-('Hist_Financials'!D25*'Scenario_Library'!T41)-('Hist_Financials'!D6*'Scenario_Library'!U41)))*'Scenario_Library'!V41))-('Hist_Financials'!D37*(1-'Scenario_Library'!Q41))-('Hist_Financials'!D38*(1-'Scenario_Library'!R41)))&gt;0),"RESILIENT","WATCH")))</f>
        <v/>
      </c>
    </row>
    <row r="39" ht="17" customHeight="1" s="28">
      <c r="B39" s="230">
        <f>'Scenario_Library'!A42</f>
        <v/>
      </c>
      <c r="C39" s="232" t="inlineStr">
        <is>
          <t>Severe</t>
        </is>
      </c>
      <c r="D39" s="221">
        <f>'Hist_Financials'!D6*(1+'Scenario_Library'!E42)</f>
        <v/>
      </c>
      <c r="E39" s="219">
        <f>('Hist_Financials'!D6*(1+'Scenario_Library'!E42))-'Hist_Financials'!D6</f>
        <v/>
      </c>
      <c r="F39" s="220">
        <f>IFERROR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/('Hist_Financials'!D6*(1+'Scenario_Library'!E42)),0)</f>
        <v/>
      </c>
      <c r="G39" s="221">
        <f>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</f>
        <v/>
      </c>
      <c r="H39" s="219">
        <f>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11</f>
        <v/>
      </c>
      <c r="I39" s="221">
        <f>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-(MAX(0,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)*'Scenario_Library'!V42)</f>
        <v/>
      </c>
      <c r="J39" s="221">
        <f>((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-(MAX(0,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)*'Scenario_Library'!V42))+'Hist_Financials'!D12+('Hist_Financials'!D24*'Scenario_Library'!S42)+('Hist_Financials'!D25*'Scenario_Library'!T42)-( (('Hist_Financials'!D6*(1+'Scenario_Library'!E42))*(MAX(0,IFERROR('Hist_Financials'!D21/'Hist_Financials'!D6*365,0)+'Scenario_Library'!I42))/365)-'Hist_Financials'!D21 )-( (IFERROR(('Hist_Financials'!D6*(1+'Scenario_Library'!E42))*(1-(MAX(-0.5,MIN(0.9,IFERROR('Hist_Financials'!D8/'Hist_Financials'!D6,0)+'Scenario_Library'!F42/10000))))*(MAX(0,IFERROR('Hist_Financials'!D22/'Hist_Financials'!D7*365,0)+'Scenario_Library'!J42))/365,0))-'Hist_Financials'!D22 )+( (IFERROR(('Hist_Financials'!D6*(1+'Scenario_Library'!E42))*(1-(MAX(-0.5,MIN(0.9,IFERROR('Hist_Financials'!D8/'Hist_Financials'!D6,0)+'Scenario_Library'!F42/10000))))*(MAX(0,IFERROR('Hist_Financials'!D28/'Hist_Financials'!D7*365,0)+'Scenario_Library'!K42))/365,0))-'Hist_Financials'!D28 ))-('Hist_Financials'!D36*(1-'Scenario_Library'!P42))</f>
        <v/>
      </c>
      <c r="K39" s="221">
        <f>MAX(0,'Hist_Financials'!D20+((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-(MAX(0,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)*'Scenario_Library'!V42))+'Hist_Financials'!D12+('Hist_Financials'!D24*'Scenario_Library'!S42)+('Hist_Financials'!D25*'Scenario_Library'!T42)-( (('Hist_Financials'!D6*(1+'Scenario_Library'!E42))*(MAX(0,IFERROR('Hist_Financials'!D21/'Hist_Financials'!D6*365,0)+'Scenario_Library'!I42))/365)-'Hist_Financials'!D21 )-( (IFERROR(('Hist_Financials'!D6*(1+'Scenario_Library'!E42))*(1-(MAX(-0.5,MIN(0.9,IFERROR('Hist_Financials'!D8/'Hist_Financials'!D6,0)+'Scenario_Library'!F42/10000))))*(MAX(0,IFERROR('Hist_Financials'!D22/'Hist_Financials'!D7*365,0)+'Scenario_Library'!J42))/365,0))-'Hist_Financials'!D22 )+( (IFERROR(('Hist_Financials'!D6*(1+'Scenario_Library'!E42))*(1-(MAX(-0.5,MIN(0.9,IFERROR('Hist_Financials'!D8/'Hist_Financials'!D6,0)+'Scenario_Library'!F42/10000))))*(MAX(0,IFERROR('Hist_Financials'!D28/'Hist_Financials'!D7*365,0)+'Scenario_Library'!K42))/365,0))-'Hist_Financials'!D28 ))-('Hist_Financials'!D36*(1-'Scenario_Library'!P42))-('Hist_Financials'!D37*(1-'Scenario_Library'!Q42))-('Hist_Financials'!D38*(1-'Scenario_Library'!R42))-('Hist_Financials'!D27*(1-'Scenario_Library'!M42))-('Hist_Financials'!D30*'Scenario_Library'!N42*(1-'Scenario_Library'!O42)))</f>
        <v/>
      </c>
      <c r="L39" s="222">
        <f>IF('Hist_Financials'!D6=0,"",IFERROR(( (('Hist_Financials'!D27-('Hist_Financials'!D27*(1-'Scenario_Library'!M42)))+('Hist_Financials'!D30-('Hist_Financials'!D30*'Scenario_Library'!N42*(1-'Scenario_Library'!O42))))-(MAX(0,'Hist_Financials'!D20+((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-(MAX(0,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)*'Scenario_Library'!V42))+'Hist_Financials'!D12+('Hist_Financials'!D24*'Scenario_Library'!S42)+('Hist_Financials'!D25*'Scenario_Library'!T42)-( (('Hist_Financials'!D6*(1+'Scenario_Library'!E42))*(MAX(0,IFERROR('Hist_Financials'!D21/'Hist_Financials'!D6*365,0)+'Scenario_Library'!I42))/365)-'Hist_Financials'!D21 )-( (IFERROR(('Hist_Financials'!D6*(1+'Scenario_Library'!E42))*(1-(MAX(-0.5,MIN(0.9,IFERROR('Hist_Financials'!D8/'Hist_Financials'!D6,0)+'Scenario_Library'!F42/10000))))*(MAX(0,IFERROR('Hist_Financials'!D22/'Hist_Financials'!D7*365,0)+'Scenario_Library'!J42))/365,0))-'Hist_Financials'!D22 )+( (IFERROR(('Hist_Financials'!D6*(1+'Scenario_Library'!E42))*(1-(MAX(-0.5,MIN(0.9,IFERROR('Hist_Financials'!D8/'Hist_Financials'!D6,0)+'Scenario_Library'!F42/10000))))*(MAX(0,IFERROR('Hist_Financials'!D28/'Hist_Financials'!D7*365,0)+'Scenario_Library'!K42))/365,0))-'Hist_Financials'!D28 ))-('Hist_Financials'!D36*(1-'Scenario_Library'!P42))-('Hist_Financials'!D37*(1-'Scenario_Library'!Q42))-('Hist_Financials'!D38*(1-'Scenario_Library'!R42))-('Hist_Financials'!D27*(1-'Scenario_Library'!M42))-('Hist_Financials'!D30*'Scenario_Library'!N42*(1-'Scenario_Library'!O42)))) )/MAX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,0.01),99))</f>
        <v/>
      </c>
      <c r="M39" s="222">
        <f>IF('Hist_Financials'!D6=0,"",IFERROR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/MAX(((MAX(0,IFERROR('Hist_Financials'!D14/MAX('Hist_Financials'!D27+'Hist_Financials'!D30,1),0)+'Scenario_Library'!L42/10000))*('Hist_Financials'!D27+'Hist_Financials'!D30)),0.01),999))</f>
        <v/>
      </c>
      <c r="N39" s="218">
        <f>IF('Hist_Financials'!D6=0,"— NO DATA —",IF(OR((IFERROR(( (('Hist_Financials'!D27-('Hist_Financials'!D27*(1-'Scenario_Library'!M42)))+('Hist_Financials'!D30-('Hist_Financials'!D30*'Scenario_Library'!N42*(1-'Scenario_Library'!O42))))-(MAX(0,'Hist_Financials'!D20+((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-(MAX(0,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)*'Scenario_Library'!V42))+'Hist_Financials'!D12+('Hist_Financials'!D24*'Scenario_Library'!S42)+('Hist_Financials'!D25*'Scenario_Library'!T42)-( (('Hist_Financials'!D6*(1+'Scenario_Library'!E42))*(MAX(0,IFERROR('Hist_Financials'!D21/'Hist_Financials'!D6*365,0)+'Scenario_Library'!I42))/365)-'Hist_Financials'!D21 )-( (IFERROR(('Hist_Financials'!D6*(1+'Scenario_Library'!E42))*(1-(MAX(-0.5,MIN(0.9,IFERROR('Hist_Financials'!D8/'Hist_Financials'!D6,0)+'Scenario_Library'!F42/10000))))*(MAX(0,IFERROR('Hist_Financials'!D22/'Hist_Financials'!D7*365,0)+'Scenario_Library'!J42))/365,0))-'Hist_Financials'!D22 )+( (IFERROR(('Hist_Financials'!D6*(1+'Scenario_Library'!E42))*(1-(MAX(-0.5,MIN(0.9,IFERROR('Hist_Financials'!D8/'Hist_Financials'!D6,0)+'Scenario_Library'!F42/10000))))*(MAX(0,IFERROR('Hist_Financials'!D28/'Hist_Financials'!D7*365,0)+'Scenario_Library'!K42))/365,0))-'Hist_Financials'!D28 ))-('Hist_Financials'!D36*(1-'Scenario_Library'!P42))-('Hist_Financials'!D37*(1-'Scenario_Library'!Q42))-('Hist_Financials'!D38*(1-'Scenario_Library'!R42))-('Hist_Financials'!D27*(1-'Scenario_Library'!M42))-('Hist_Financials'!D30*'Scenario_Library'!N42*(1-'Scenario_Library'!O42)))) )/MAX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,0.01),99))&gt;'Scenario_Setup'!B13,(IFERROR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/MAX(((MAX(0,IFERROR('Hist_Financials'!D14/MAX('Hist_Financials'!D27+'Hist_Financials'!D30,1),0)+'Scenario_Library'!L42/10000))*('Hist_Financials'!D27+'Hist_Financials'!D30)),0.01),999))&lt;'Scenario_Setup'!B12,('Hist_Financials'!D32+(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-(MAX(0,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)*'Scenario_Library'!V42))-('Hist_Financials'!D37*(1-'Scenario_Library'!Q42))-('Hist_Financials'!D38*(1-'Scenario_Library'!R42)))&lt;0,(((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-(MAX(0,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)*'Scenario_Library'!V42))+'Hist_Financials'!D12+('Hist_Financials'!D24*'Scenario_Library'!S42)+('Hist_Financials'!D25*'Scenario_Library'!T42)-( (('Hist_Financials'!D6*(1+'Scenario_Library'!E42))*(MAX(0,IFERROR('Hist_Financials'!D21/'Hist_Financials'!D6*365,0)+'Scenario_Library'!I42))/365)-'Hist_Financials'!D21 )-( (IFERROR(('Hist_Financials'!D6*(1+'Scenario_Library'!E42))*(1-(MAX(-0.5,MIN(0.9,IFERROR('Hist_Financials'!D8/'Hist_Financials'!D6,0)+'Scenario_Library'!F42/10000))))*(MAX(0,IFERROR('Hist_Financials'!D22/'Hist_Financials'!D7*365,0)+'Scenario_Library'!J42))/365,0))-'Hist_Financials'!D22 )+( (IFERROR(('Hist_Financials'!D6*(1+'Scenario_Library'!E42))*(1-(MAX(-0.5,MIN(0.9,IFERROR('Hist_Financials'!D8/'Hist_Financials'!D6,0)+'Scenario_Library'!F42/10000))))*(MAX(0,IFERROR('Hist_Financials'!D28/'Hist_Financials'!D7*365,0)+'Scenario_Library'!K42))/365,0))-'Hist_Financials'!D28 ))-('Hist_Financials'!D36*(1-'Scenario_Library'!P42)))&lt;-0.2*'Hist_Financials'!D6),"CRITICAL",IF(AND((((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-(MAX(0,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)*'Scenario_Library'!V42))+'Hist_Financials'!D12+('Hist_Financials'!D24*'Scenario_Library'!S42)+('Hist_Financials'!D25*'Scenario_Library'!T42)-( (('Hist_Financials'!D6*(1+'Scenario_Library'!E42))*(MAX(0,IFERROR('Hist_Financials'!D21/'Hist_Financials'!D6*365,0)+'Scenario_Library'!I42))/365)-'Hist_Financials'!D21 )-( (IFERROR(('Hist_Financials'!D6*(1+'Scenario_Library'!E42))*(1-(MAX(-0.5,MIN(0.9,IFERROR('Hist_Financials'!D8/'Hist_Financials'!D6,0)+'Scenario_Library'!F42/10000))))*(MAX(0,IFERROR('Hist_Financials'!D22/'Hist_Financials'!D7*365,0)+'Scenario_Library'!J42))/365,0))-'Hist_Financials'!D22 )+( (IFERROR(('Hist_Financials'!D6*(1+'Scenario_Library'!E42))*(1-(MAX(-0.5,MIN(0.9,IFERROR('Hist_Financials'!D8/'Hist_Financials'!D6,0)+'Scenario_Library'!F42/10000))))*(MAX(0,IFERROR('Hist_Financials'!D28/'Hist_Financials'!D7*365,0)+'Scenario_Library'!K42))/365,0))-'Hist_Financials'!D28 ))-('Hist_Financials'!D36*(1-'Scenario_Library'!P42)))&gt;=0,(IFERROR(( (('Hist_Financials'!D27-('Hist_Financials'!D27*(1-'Scenario_Library'!M42)))+('Hist_Financials'!D30-('Hist_Financials'!D30*'Scenario_Library'!N42*(1-'Scenario_Library'!O42))))-(MAX(0,'Hist_Financials'!D20+((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-(MAX(0,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)*'Scenario_Library'!V42))+'Hist_Financials'!D12+('Hist_Financials'!D24*'Scenario_Library'!S42)+('Hist_Financials'!D25*'Scenario_Library'!T42)-( (('Hist_Financials'!D6*(1+'Scenario_Library'!E42))*(MAX(0,IFERROR('Hist_Financials'!D21/'Hist_Financials'!D6*365,0)+'Scenario_Library'!I42))/365)-'Hist_Financials'!D21 )-( (IFERROR(('Hist_Financials'!D6*(1+'Scenario_Library'!E42))*(1-(MAX(-0.5,MIN(0.9,IFERROR('Hist_Financials'!D8/'Hist_Financials'!D6,0)+'Scenario_Library'!F42/10000))))*(MAX(0,IFERROR('Hist_Financials'!D22/'Hist_Financials'!D7*365,0)+'Scenario_Library'!J42))/365,0))-'Hist_Financials'!D22 )+( (IFERROR(('Hist_Financials'!D6*(1+'Scenario_Library'!E42))*(1-(MAX(-0.5,MIN(0.9,IFERROR('Hist_Financials'!D8/'Hist_Financials'!D6,0)+'Scenario_Library'!F42/10000))))*(MAX(0,IFERROR('Hist_Financials'!D28/'Hist_Financials'!D7*365,0)+'Scenario_Library'!K42))/365,0))-'Hist_Financials'!D28 ))-('Hist_Financials'!D36*(1-'Scenario_Library'!P42))-('Hist_Financials'!D37*(1-'Scenario_Library'!Q42))-('Hist_Financials'!D38*(1-'Scenario_Library'!R42))-('Hist_Financials'!D27*(1-'Scenario_Library'!M42))-('Hist_Financials'!D30*'Scenario_Library'!N42*(1-'Scenario_Library'!O42)))) )/MAX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,0.01),99))&lt;3,(IFERROR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/MAX(((MAX(0,IFERROR('Hist_Financials'!D14/MAX('Hist_Financials'!D27+'Hist_Financials'!D30,1),0)+'Scenario_Library'!L42/10000))*('Hist_Financials'!D27+'Hist_Financials'!D30)),0.01),999))&gt;='Scenario_Setup'!B12,('Hist_Financials'!D32+(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-(MAX(0,((((('Hist_Financials'!D6*(1+'Scenario_Library'!E42))*(MAX(-0.5,MIN(0.9,IFERROR('Hist_Financials'!D8/'Hist_Financials'!D6,0)+'Scenario_Library'!F42/10000))))-(MAX(0,'Hist_Financials'!D9*(1+'Scenario_Setup'!B9*('Scenario_Library'!E42)+('Scenario_Library'!G42))))-(MAX(0,'Hist_Financials'!D10*(1+'Scenario_Library'!H42))))-'Hist_Financials'!D12)-((MAX(0,IFERROR('Hist_Financials'!D14/MAX('Hist_Financials'!D27+'Hist_Financials'!D30,1),0)+'Scenario_Library'!L42/10000))*('Hist_Financials'!D27+'Hist_Financials'!D30))-('Hist_Financials'!D24*'Scenario_Library'!S42)-('Hist_Financials'!D25*'Scenario_Library'!T42)-('Hist_Financials'!D6*'Scenario_Library'!U42)))*'Scenario_Library'!V42))-('Hist_Financials'!D37*(1-'Scenario_Library'!Q42))-('Hist_Financials'!D38*(1-'Scenario_Library'!R42)))&gt;0),"RESILIENT","WATCH")))</f>
        <v/>
      </c>
    </row>
    <row r="40" ht="17" customHeight="1" s="28">
      <c r="B40" s="223">
        <f>'Scenario_Library'!A43</f>
        <v/>
      </c>
      <c r="C40" s="224" t="inlineStr">
        <is>
          <t>Light</t>
        </is>
      </c>
      <c r="D40" s="225">
        <f>'Hist_Financials'!D6*(1+'Scenario_Library'!E43)</f>
        <v/>
      </c>
      <c r="E40" s="226">
        <f>('Hist_Financials'!D6*(1+'Scenario_Library'!E43))-'Hist_Financials'!D6</f>
        <v/>
      </c>
      <c r="F40" s="227">
        <f>IFERROR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/('Hist_Financials'!D6*(1+'Scenario_Library'!E43)),0)</f>
        <v/>
      </c>
      <c r="G40" s="225">
        <f>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</f>
        <v/>
      </c>
      <c r="H40" s="226">
        <f>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11</f>
        <v/>
      </c>
      <c r="I40" s="225">
        <f>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-(MAX(0,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)*'Scenario_Library'!V43)</f>
        <v/>
      </c>
      <c r="J40" s="225">
        <f>((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-(MAX(0,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)*'Scenario_Library'!V43))+'Hist_Financials'!D12+('Hist_Financials'!D24*'Scenario_Library'!S43)+('Hist_Financials'!D25*'Scenario_Library'!T43)-( (('Hist_Financials'!D6*(1+'Scenario_Library'!E43))*(MAX(0,IFERROR('Hist_Financials'!D21/'Hist_Financials'!D6*365,0)+'Scenario_Library'!I43))/365)-'Hist_Financials'!D21 )-( (IFERROR(('Hist_Financials'!D6*(1+'Scenario_Library'!E43))*(1-(MAX(-0.5,MIN(0.9,IFERROR('Hist_Financials'!D8/'Hist_Financials'!D6,0)+'Scenario_Library'!F43/10000))))*(MAX(0,IFERROR('Hist_Financials'!D22/'Hist_Financials'!D7*365,0)+'Scenario_Library'!J43))/365,0))-'Hist_Financials'!D22 )+( (IFERROR(('Hist_Financials'!D6*(1+'Scenario_Library'!E43))*(1-(MAX(-0.5,MIN(0.9,IFERROR('Hist_Financials'!D8/'Hist_Financials'!D6,0)+'Scenario_Library'!F43/10000))))*(MAX(0,IFERROR('Hist_Financials'!D28/'Hist_Financials'!D7*365,0)+'Scenario_Library'!K43))/365,0))-'Hist_Financials'!D28 ))-('Hist_Financials'!D36*(1-'Scenario_Library'!P43))</f>
        <v/>
      </c>
      <c r="K40" s="225">
        <f>MAX(0,'Hist_Financials'!D20+((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-(MAX(0,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)*'Scenario_Library'!V43))+'Hist_Financials'!D12+('Hist_Financials'!D24*'Scenario_Library'!S43)+('Hist_Financials'!D25*'Scenario_Library'!T43)-( (('Hist_Financials'!D6*(1+'Scenario_Library'!E43))*(MAX(0,IFERROR('Hist_Financials'!D21/'Hist_Financials'!D6*365,0)+'Scenario_Library'!I43))/365)-'Hist_Financials'!D21 )-( (IFERROR(('Hist_Financials'!D6*(1+'Scenario_Library'!E43))*(1-(MAX(-0.5,MIN(0.9,IFERROR('Hist_Financials'!D8/'Hist_Financials'!D6,0)+'Scenario_Library'!F43/10000))))*(MAX(0,IFERROR('Hist_Financials'!D22/'Hist_Financials'!D7*365,0)+'Scenario_Library'!J43))/365,0))-'Hist_Financials'!D22 )+( (IFERROR(('Hist_Financials'!D6*(1+'Scenario_Library'!E43))*(1-(MAX(-0.5,MIN(0.9,IFERROR('Hist_Financials'!D8/'Hist_Financials'!D6,0)+'Scenario_Library'!F43/10000))))*(MAX(0,IFERROR('Hist_Financials'!D28/'Hist_Financials'!D7*365,0)+'Scenario_Library'!K43))/365,0))-'Hist_Financials'!D28 ))-('Hist_Financials'!D36*(1-'Scenario_Library'!P43))-('Hist_Financials'!D37*(1-'Scenario_Library'!Q43))-('Hist_Financials'!D38*(1-'Scenario_Library'!R43))-('Hist_Financials'!D27*(1-'Scenario_Library'!M43))-('Hist_Financials'!D30*'Scenario_Library'!N43*(1-'Scenario_Library'!O43)))</f>
        <v/>
      </c>
      <c r="L40" s="228">
        <f>IF('Hist_Financials'!D6=0,"",IFERROR(( (('Hist_Financials'!D27-('Hist_Financials'!D27*(1-'Scenario_Library'!M43)))+('Hist_Financials'!D30-('Hist_Financials'!D30*'Scenario_Library'!N43*(1-'Scenario_Library'!O43))))-(MAX(0,'Hist_Financials'!D20+((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-(MAX(0,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)*'Scenario_Library'!V43))+'Hist_Financials'!D12+('Hist_Financials'!D24*'Scenario_Library'!S43)+('Hist_Financials'!D25*'Scenario_Library'!T43)-( (('Hist_Financials'!D6*(1+'Scenario_Library'!E43))*(MAX(0,IFERROR('Hist_Financials'!D21/'Hist_Financials'!D6*365,0)+'Scenario_Library'!I43))/365)-'Hist_Financials'!D21 )-( (IFERROR(('Hist_Financials'!D6*(1+'Scenario_Library'!E43))*(1-(MAX(-0.5,MIN(0.9,IFERROR('Hist_Financials'!D8/'Hist_Financials'!D6,0)+'Scenario_Library'!F43/10000))))*(MAX(0,IFERROR('Hist_Financials'!D22/'Hist_Financials'!D7*365,0)+'Scenario_Library'!J43))/365,0))-'Hist_Financials'!D22 )+( (IFERROR(('Hist_Financials'!D6*(1+'Scenario_Library'!E43))*(1-(MAX(-0.5,MIN(0.9,IFERROR('Hist_Financials'!D8/'Hist_Financials'!D6,0)+'Scenario_Library'!F43/10000))))*(MAX(0,IFERROR('Hist_Financials'!D28/'Hist_Financials'!D7*365,0)+'Scenario_Library'!K43))/365,0))-'Hist_Financials'!D28 ))-('Hist_Financials'!D36*(1-'Scenario_Library'!P43))-('Hist_Financials'!D37*(1-'Scenario_Library'!Q43))-('Hist_Financials'!D38*(1-'Scenario_Library'!R43))-('Hist_Financials'!D27*(1-'Scenario_Library'!M43))-('Hist_Financials'!D30*'Scenario_Library'!N43*(1-'Scenario_Library'!O43)))) )/MAX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,0.01),99))</f>
        <v/>
      </c>
      <c r="M40" s="228">
        <f>IF('Hist_Financials'!D6=0,"",IFERROR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/MAX(((MAX(0,IFERROR('Hist_Financials'!D14/MAX('Hist_Financials'!D27+'Hist_Financials'!D30,1),0)+'Scenario_Library'!L43/10000))*('Hist_Financials'!D27+'Hist_Financials'!D30)),0.01),999))</f>
        <v/>
      </c>
      <c r="N40" s="229">
        <f>IF('Hist_Financials'!D6=0,"— NO DATA —",IF(OR((IFERROR(( (('Hist_Financials'!D27-('Hist_Financials'!D27*(1-'Scenario_Library'!M43)))+('Hist_Financials'!D30-('Hist_Financials'!D30*'Scenario_Library'!N43*(1-'Scenario_Library'!O43))))-(MAX(0,'Hist_Financials'!D20+((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-(MAX(0,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)*'Scenario_Library'!V43))+'Hist_Financials'!D12+('Hist_Financials'!D24*'Scenario_Library'!S43)+('Hist_Financials'!D25*'Scenario_Library'!T43)-( (('Hist_Financials'!D6*(1+'Scenario_Library'!E43))*(MAX(0,IFERROR('Hist_Financials'!D21/'Hist_Financials'!D6*365,0)+'Scenario_Library'!I43))/365)-'Hist_Financials'!D21 )-( (IFERROR(('Hist_Financials'!D6*(1+'Scenario_Library'!E43))*(1-(MAX(-0.5,MIN(0.9,IFERROR('Hist_Financials'!D8/'Hist_Financials'!D6,0)+'Scenario_Library'!F43/10000))))*(MAX(0,IFERROR('Hist_Financials'!D22/'Hist_Financials'!D7*365,0)+'Scenario_Library'!J43))/365,0))-'Hist_Financials'!D22 )+( (IFERROR(('Hist_Financials'!D6*(1+'Scenario_Library'!E43))*(1-(MAX(-0.5,MIN(0.9,IFERROR('Hist_Financials'!D8/'Hist_Financials'!D6,0)+'Scenario_Library'!F43/10000))))*(MAX(0,IFERROR('Hist_Financials'!D28/'Hist_Financials'!D7*365,0)+'Scenario_Library'!K43))/365,0))-'Hist_Financials'!D28 ))-('Hist_Financials'!D36*(1-'Scenario_Library'!P43))-('Hist_Financials'!D37*(1-'Scenario_Library'!Q43))-('Hist_Financials'!D38*(1-'Scenario_Library'!R43))-('Hist_Financials'!D27*(1-'Scenario_Library'!M43))-('Hist_Financials'!D30*'Scenario_Library'!N43*(1-'Scenario_Library'!O43)))) )/MAX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,0.01),99))&gt;'Scenario_Setup'!B13,(IFERROR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/MAX(((MAX(0,IFERROR('Hist_Financials'!D14/MAX('Hist_Financials'!D27+'Hist_Financials'!D30,1),0)+'Scenario_Library'!L43/10000))*('Hist_Financials'!D27+'Hist_Financials'!D30)),0.01),999))&lt;'Scenario_Setup'!B12,('Hist_Financials'!D32+(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-(MAX(0,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)*'Scenario_Library'!V43))-('Hist_Financials'!D37*(1-'Scenario_Library'!Q43))-('Hist_Financials'!D38*(1-'Scenario_Library'!R43)))&lt;0,(((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-(MAX(0,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)*'Scenario_Library'!V43))+'Hist_Financials'!D12+('Hist_Financials'!D24*'Scenario_Library'!S43)+('Hist_Financials'!D25*'Scenario_Library'!T43)-( (('Hist_Financials'!D6*(1+'Scenario_Library'!E43))*(MAX(0,IFERROR('Hist_Financials'!D21/'Hist_Financials'!D6*365,0)+'Scenario_Library'!I43))/365)-'Hist_Financials'!D21 )-( (IFERROR(('Hist_Financials'!D6*(1+'Scenario_Library'!E43))*(1-(MAX(-0.5,MIN(0.9,IFERROR('Hist_Financials'!D8/'Hist_Financials'!D6,0)+'Scenario_Library'!F43/10000))))*(MAX(0,IFERROR('Hist_Financials'!D22/'Hist_Financials'!D7*365,0)+'Scenario_Library'!J43))/365,0))-'Hist_Financials'!D22 )+( (IFERROR(('Hist_Financials'!D6*(1+'Scenario_Library'!E43))*(1-(MAX(-0.5,MIN(0.9,IFERROR('Hist_Financials'!D8/'Hist_Financials'!D6,0)+'Scenario_Library'!F43/10000))))*(MAX(0,IFERROR('Hist_Financials'!D28/'Hist_Financials'!D7*365,0)+'Scenario_Library'!K43))/365,0))-'Hist_Financials'!D28 ))-('Hist_Financials'!D36*(1-'Scenario_Library'!P43)))&lt;-0.2*'Hist_Financials'!D6),"CRITICAL",IF(AND((((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-(MAX(0,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)*'Scenario_Library'!V43))+'Hist_Financials'!D12+('Hist_Financials'!D24*'Scenario_Library'!S43)+('Hist_Financials'!D25*'Scenario_Library'!T43)-( (('Hist_Financials'!D6*(1+'Scenario_Library'!E43))*(MAX(0,IFERROR('Hist_Financials'!D21/'Hist_Financials'!D6*365,0)+'Scenario_Library'!I43))/365)-'Hist_Financials'!D21 )-( (IFERROR(('Hist_Financials'!D6*(1+'Scenario_Library'!E43))*(1-(MAX(-0.5,MIN(0.9,IFERROR('Hist_Financials'!D8/'Hist_Financials'!D6,0)+'Scenario_Library'!F43/10000))))*(MAX(0,IFERROR('Hist_Financials'!D22/'Hist_Financials'!D7*365,0)+'Scenario_Library'!J43))/365,0))-'Hist_Financials'!D22 )+( (IFERROR(('Hist_Financials'!D6*(1+'Scenario_Library'!E43))*(1-(MAX(-0.5,MIN(0.9,IFERROR('Hist_Financials'!D8/'Hist_Financials'!D6,0)+'Scenario_Library'!F43/10000))))*(MAX(0,IFERROR('Hist_Financials'!D28/'Hist_Financials'!D7*365,0)+'Scenario_Library'!K43))/365,0))-'Hist_Financials'!D28 ))-('Hist_Financials'!D36*(1-'Scenario_Library'!P43)))&gt;=0,(IFERROR(( (('Hist_Financials'!D27-('Hist_Financials'!D27*(1-'Scenario_Library'!M43)))+('Hist_Financials'!D30-('Hist_Financials'!D30*'Scenario_Library'!N43*(1-'Scenario_Library'!O43))))-(MAX(0,'Hist_Financials'!D20+((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-(MAX(0,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)*'Scenario_Library'!V43))+'Hist_Financials'!D12+('Hist_Financials'!D24*'Scenario_Library'!S43)+('Hist_Financials'!D25*'Scenario_Library'!T43)-( (('Hist_Financials'!D6*(1+'Scenario_Library'!E43))*(MAX(0,IFERROR('Hist_Financials'!D21/'Hist_Financials'!D6*365,0)+'Scenario_Library'!I43))/365)-'Hist_Financials'!D21 )-( (IFERROR(('Hist_Financials'!D6*(1+'Scenario_Library'!E43))*(1-(MAX(-0.5,MIN(0.9,IFERROR('Hist_Financials'!D8/'Hist_Financials'!D6,0)+'Scenario_Library'!F43/10000))))*(MAX(0,IFERROR('Hist_Financials'!D22/'Hist_Financials'!D7*365,0)+'Scenario_Library'!J43))/365,0))-'Hist_Financials'!D22 )+( (IFERROR(('Hist_Financials'!D6*(1+'Scenario_Library'!E43))*(1-(MAX(-0.5,MIN(0.9,IFERROR('Hist_Financials'!D8/'Hist_Financials'!D6,0)+'Scenario_Library'!F43/10000))))*(MAX(0,IFERROR('Hist_Financials'!D28/'Hist_Financials'!D7*365,0)+'Scenario_Library'!K43))/365,0))-'Hist_Financials'!D28 ))-('Hist_Financials'!D36*(1-'Scenario_Library'!P43))-('Hist_Financials'!D37*(1-'Scenario_Library'!Q43))-('Hist_Financials'!D38*(1-'Scenario_Library'!R43))-('Hist_Financials'!D27*(1-'Scenario_Library'!M43))-('Hist_Financials'!D30*'Scenario_Library'!N43*(1-'Scenario_Library'!O43)))) )/MAX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,0.01),99))&lt;3,(IFERROR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/MAX(((MAX(0,IFERROR('Hist_Financials'!D14/MAX('Hist_Financials'!D27+'Hist_Financials'!D30,1),0)+'Scenario_Library'!L43/10000))*('Hist_Financials'!D27+'Hist_Financials'!D30)),0.01),999))&gt;='Scenario_Setup'!B12,('Hist_Financials'!D32+(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-(MAX(0,((((('Hist_Financials'!D6*(1+'Scenario_Library'!E43))*(MAX(-0.5,MIN(0.9,IFERROR('Hist_Financials'!D8/'Hist_Financials'!D6,0)+'Scenario_Library'!F43/10000))))-(MAX(0,'Hist_Financials'!D9*(1+'Scenario_Setup'!B9*('Scenario_Library'!E43)+('Scenario_Library'!G43))))-(MAX(0,'Hist_Financials'!D10*(1+'Scenario_Library'!H43))))-'Hist_Financials'!D12)-((MAX(0,IFERROR('Hist_Financials'!D14/MAX('Hist_Financials'!D27+'Hist_Financials'!D30,1),0)+'Scenario_Library'!L43/10000))*('Hist_Financials'!D27+'Hist_Financials'!D30))-('Hist_Financials'!D24*'Scenario_Library'!S43)-('Hist_Financials'!D25*'Scenario_Library'!T43)-('Hist_Financials'!D6*'Scenario_Library'!U43)))*'Scenario_Library'!V43))-('Hist_Financials'!D37*(1-'Scenario_Library'!Q43))-('Hist_Financials'!D38*(1-'Scenario_Library'!R43)))&gt;0),"RESILIENT","WATCH")))</f>
        <v/>
      </c>
    </row>
    <row r="41" ht="17" customHeight="1" s="28">
      <c r="B41" s="230">
        <f>'Scenario_Library'!A44</f>
        <v/>
      </c>
      <c r="C41" s="231" t="inlineStr">
        <is>
          <t>Base</t>
        </is>
      </c>
      <c r="D41" s="215">
        <f>'Hist_Financials'!D6*(1+'Scenario_Library'!E44)</f>
        <v/>
      </c>
      <c r="E41" s="213">
        <f>('Hist_Financials'!D6*(1+'Scenario_Library'!E44))-'Hist_Financials'!D6</f>
        <v/>
      </c>
      <c r="F41" s="214">
        <f>IFERROR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/('Hist_Financials'!D6*(1+'Scenario_Library'!E44)),0)</f>
        <v/>
      </c>
      <c r="G41" s="215">
        <f>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</f>
        <v/>
      </c>
      <c r="H41" s="213">
        <f>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11</f>
        <v/>
      </c>
      <c r="I41" s="215">
        <f>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-(MAX(0,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)*'Scenario_Library'!V44)</f>
        <v/>
      </c>
      <c r="J41" s="215">
        <f>((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-(MAX(0,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)*'Scenario_Library'!V44))+'Hist_Financials'!D12+('Hist_Financials'!D24*'Scenario_Library'!S44)+('Hist_Financials'!D25*'Scenario_Library'!T44)-( (('Hist_Financials'!D6*(1+'Scenario_Library'!E44))*(MAX(0,IFERROR('Hist_Financials'!D21/'Hist_Financials'!D6*365,0)+'Scenario_Library'!I44))/365)-'Hist_Financials'!D21 )-( (IFERROR(('Hist_Financials'!D6*(1+'Scenario_Library'!E44))*(1-(MAX(-0.5,MIN(0.9,IFERROR('Hist_Financials'!D8/'Hist_Financials'!D6,0)+'Scenario_Library'!F44/10000))))*(MAX(0,IFERROR('Hist_Financials'!D22/'Hist_Financials'!D7*365,0)+'Scenario_Library'!J44))/365,0))-'Hist_Financials'!D22 )+( (IFERROR(('Hist_Financials'!D6*(1+'Scenario_Library'!E44))*(1-(MAX(-0.5,MIN(0.9,IFERROR('Hist_Financials'!D8/'Hist_Financials'!D6,0)+'Scenario_Library'!F44/10000))))*(MAX(0,IFERROR('Hist_Financials'!D28/'Hist_Financials'!D7*365,0)+'Scenario_Library'!K44))/365,0))-'Hist_Financials'!D28 ))-('Hist_Financials'!D36*(1-'Scenario_Library'!P44))</f>
        <v/>
      </c>
      <c r="K41" s="215">
        <f>MAX(0,'Hist_Financials'!D20+((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-(MAX(0,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)*'Scenario_Library'!V44))+'Hist_Financials'!D12+('Hist_Financials'!D24*'Scenario_Library'!S44)+('Hist_Financials'!D25*'Scenario_Library'!T44)-( (('Hist_Financials'!D6*(1+'Scenario_Library'!E44))*(MAX(0,IFERROR('Hist_Financials'!D21/'Hist_Financials'!D6*365,0)+'Scenario_Library'!I44))/365)-'Hist_Financials'!D21 )-( (IFERROR(('Hist_Financials'!D6*(1+'Scenario_Library'!E44))*(1-(MAX(-0.5,MIN(0.9,IFERROR('Hist_Financials'!D8/'Hist_Financials'!D6,0)+'Scenario_Library'!F44/10000))))*(MAX(0,IFERROR('Hist_Financials'!D22/'Hist_Financials'!D7*365,0)+'Scenario_Library'!J44))/365,0))-'Hist_Financials'!D22 )+( (IFERROR(('Hist_Financials'!D6*(1+'Scenario_Library'!E44))*(1-(MAX(-0.5,MIN(0.9,IFERROR('Hist_Financials'!D8/'Hist_Financials'!D6,0)+'Scenario_Library'!F44/10000))))*(MAX(0,IFERROR('Hist_Financials'!D28/'Hist_Financials'!D7*365,0)+'Scenario_Library'!K44))/365,0))-'Hist_Financials'!D28 ))-('Hist_Financials'!D36*(1-'Scenario_Library'!P44))-('Hist_Financials'!D37*(1-'Scenario_Library'!Q44))-('Hist_Financials'!D38*(1-'Scenario_Library'!R44))-('Hist_Financials'!D27*(1-'Scenario_Library'!M44))-('Hist_Financials'!D30*'Scenario_Library'!N44*(1-'Scenario_Library'!O44)))</f>
        <v/>
      </c>
      <c r="L41" s="216">
        <f>IF('Hist_Financials'!D6=0,"",IFERROR(( (('Hist_Financials'!D27-('Hist_Financials'!D27*(1-'Scenario_Library'!M44)))+('Hist_Financials'!D30-('Hist_Financials'!D30*'Scenario_Library'!N44*(1-'Scenario_Library'!O44))))-(MAX(0,'Hist_Financials'!D20+((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-(MAX(0,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)*'Scenario_Library'!V44))+'Hist_Financials'!D12+('Hist_Financials'!D24*'Scenario_Library'!S44)+('Hist_Financials'!D25*'Scenario_Library'!T44)-( (('Hist_Financials'!D6*(1+'Scenario_Library'!E44))*(MAX(0,IFERROR('Hist_Financials'!D21/'Hist_Financials'!D6*365,0)+'Scenario_Library'!I44))/365)-'Hist_Financials'!D21 )-( (IFERROR(('Hist_Financials'!D6*(1+'Scenario_Library'!E44))*(1-(MAX(-0.5,MIN(0.9,IFERROR('Hist_Financials'!D8/'Hist_Financials'!D6,0)+'Scenario_Library'!F44/10000))))*(MAX(0,IFERROR('Hist_Financials'!D22/'Hist_Financials'!D7*365,0)+'Scenario_Library'!J44))/365,0))-'Hist_Financials'!D22 )+( (IFERROR(('Hist_Financials'!D6*(1+'Scenario_Library'!E44))*(1-(MAX(-0.5,MIN(0.9,IFERROR('Hist_Financials'!D8/'Hist_Financials'!D6,0)+'Scenario_Library'!F44/10000))))*(MAX(0,IFERROR('Hist_Financials'!D28/'Hist_Financials'!D7*365,0)+'Scenario_Library'!K44))/365,0))-'Hist_Financials'!D28 ))-('Hist_Financials'!D36*(1-'Scenario_Library'!P44))-('Hist_Financials'!D37*(1-'Scenario_Library'!Q44))-('Hist_Financials'!D38*(1-'Scenario_Library'!R44))-('Hist_Financials'!D27*(1-'Scenario_Library'!M44))-('Hist_Financials'!D30*'Scenario_Library'!N44*(1-'Scenario_Library'!O44)))) )/MAX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,0.01),99))</f>
        <v/>
      </c>
      <c r="M41" s="216">
        <f>IF('Hist_Financials'!D6=0,"",IFERROR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/MAX(((MAX(0,IFERROR('Hist_Financials'!D14/MAX('Hist_Financials'!D27+'Hist_Financials'!D30,1),0)+'Scenario_Library'!L44/10000))*('Hist_Financials'!D27+'Hist_Financials'!D30)),0.01),999))</f>
        <v/>
      </c>
      <c r="N41" s="212">
        <f>IF('Hist_Financials'!D6=0,"— NO DATA —",IF(OR((IFERROR(( (('Hist_Financials'!D27-('Hist_Financials'!D27*(1-'Scenario_Library'!M44)))+('Hist_Financials'!D30-('Hist_Financials'!D30*'Scenario_Library'!N44*(1-'Scenario_Library'!O44))))-(MAX(0,'Hist_Financials'!D20+((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-(MAX(0,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)*'Scenario_Library'!V44))+'Hist_Financials'!D12+('Hist_Financials'!D24*'Scenario_Library'!S44)+('Hist_Financials'!D25*'Scenario_Library'!T44)-( (('Hist_Financials'!D6*(1+'Scenario_Library'!E44))*(MAX(0,IFERROR('Hist_Financials'!D21/'Hist_Financials'!D6*365,0)+'Scenario_Library'!I44))/365)-'Hist_Financials'!D21 )-( (IFERROR(('Hist_Financials'!D6*(1+'Scenario_Library'!E44))*(1-(MAX(-0.5,MIN(0.9,IFERROR('Hist_Financials'!D8/'Hist_Financials'!D6,0)+'Scenario_Library'!F44/10000))))*(MAX(0,IFERROR('Hist_Financials'!D22/'Hist_Financials'!D7*365,0)+'Scenario_Library'!J44))/365,0))-'Hist_Financials'!D22 )+( (IFERROR(('Hist_Financials'!D6*(1+'Scenario_Library'!E44))*(1-(MAX(-0.5,MIN(0.9,IFERROR('Hist_Financials'!D8/'Hist_Financials'!D6,0)+'Scenario_Library'!F44/10000))))*(MAX(0,IFERROR('Hist_Financials'!D28/'Hist_Financials'!D7*365,0)+'Scenario_Library'!K44))/365,0))-'Hist_Financials'!D28 ))-('Hist_Financials'!D36*(1-'Scenario_Library'!P44))-('Hist_Financials'!D37*(1-'Scenario_Library'!Q44))-('Hist_Financials'!D38*(1-'Scenario_Library'!R44))-('Hist_Financials'!D27*(1-'Scenario_Library'!M44))-('Hist_Financials'!D30*'Scenario_Library'!N44*(1-'Scenario_Library'!O44)))) )/MAX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,0.01),99))&gt;'Scenario_Setup'!B13,(IFERROR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/MAX(((MAX(0,IFERROR('Hist_Financials'!D14/MAX('Hist_Financials'!D27+'Hist_Financials'!D30,1),0)+'Scenario_Library'!L44/10000))*('Hist_Financials'!D27+'Hist_Financials'!D30)),0.01),999))&lt;'Scenario_Setup'!B12,('Hist_Financials'!D32+(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-(MAX(0,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)*'Scenario_Library'!V44))-('Hist_Financials'!D37*(1-'Scenario_Library'!Q44))-('Hist_Financials'!D38*(1-'Scenario_Library'!R44)))&lt;0,(((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-(MAX(0,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)*'Scenario_Library'!V44))+'Hist_Financials'!D12+('Hist_Financials'!D24*'Scenario_Library'!S44)+('Hist_Financials'!D25*'Scenario_Library'!T44)-( (('Hist_Financials'!D6*(1+'Scenario_Library'!E44))*(MAX(0,IFERROR('Hist_Financials'!D21/'Hist_Financials'!D6*365,0)+'Scenario_Library'!I44))/365)-'Hist_Financials'!D21 )-( (IFERROR(('Hist_Financials'!D6*(1+'Scenario_Library'!E44))*(1-(MAX(-0.5,MIN(0.9,IFERROR('Hist_Financials'!D8/'Hist_Financials'!D6,0)+'Scenario_Library'!F44/10000))))*(MAX(0,IFERROR('Hist_Financials'!D22/'Hist_Financials'!D7*365,0)+'Scenario_Library'!J44))/365,0))-'Hist_Financials'!D22 )+( (IFERROR(('Hist_Financials'!D6*(1+'Scenario_Library'!E44))*(1-(MAX(-0.5,MIN(0.9,IFERROR('Hist_Financials'!D8/'Hist_Financials'!D6,0)+'Scenario_Library'!F44/10000))))*(MAX(0,IFERROR('Hist_Financials'!D28/'Hist_Financials'!D7*365,0)+'Scenario_Library'!K44))/365,0))-'Hist_Financials'!D28 ))-('Hist_Financials'!D36*(1-'Scenario_Library'!P44)))&lt;-0.2*'Hist_Financials'!D6),"CRITICAL",IF(AND((((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-(MAX(0,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)*'Scenario_Library'!V44))+'Hist_Financials'!D12+('Hist_Financials'!D24*'Scenario_Library'!S44)+('Hist_Financials'!D25*'Scenario_Library'!T44)-( (('Hist_Financials'!D6*(1+'Scenario_Library'!E44))*(MAX(0,IFERROR('Hist_Financials'!D21/'Hist_Financials'!D6*365,0)+'Scenario_Library'!I44))/365)-'Hist_Financials'!D21 )-( (IFERROR(('Hist_Financials'!D6*(1+'Scenario_Library'!E44))*(1-(MAX(-0.5,MIN(0.9,IFERROR('Hist_Financials'!D8/'Hist_Financials'!D6,0)+'Scenario_Library'!F44/10000))))*(MAX(0,IFERROR('Hist_Financials'!D22/'Hist_Financials'!D7*365,0)+'Scenario_Library'!J44))/365,0))-'Hist_Financials'!D22 )+( (IFERROR(('Hist_Financials'!D6*(1+'Scenario_Library'!E44))*(1-(MAX(-0.5,MIN(0.9,IFERROR('Hist_Financials'!D8/'Hist_Financials'!D6,0)+'Scenario_Library'!F44/10000))))*(MAX(0,IFERROR('Hist_Financials'!D28/'Hist_Financials'!D7*365,0)+'Scenario_Library'!K44))/365,0))-'Hist_Financials'!D28 ))-('Hist_Financials'!D36*(1-'Scenario_Library'!P44)))&gt;=0,(IFERROR(( (('Hist_Financials'!D27-('Hist_Financials'!D27*(1-'Scenario_Library'!M44)))+('Hist_Financials'!D30-('Hist_Financials'!D30*'Scenario_Library'!N44*(1-'Scenario_Library'!O44))))-(MAX(0,'Hist_Financials'!D20+((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-(MAX(0,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)*'Scenario_Library'!V44))+'Hist_Financials'!D12+('Hist_Financials'!D24*'Scenario_Library'!S44)+('Hist_Financials'!D25*'Scenario_Library'!T44)-( (('Hist_Financials'!D6*(1+'Scenario_Library'!E44))*(MAX(0,IFERROR('Hist_Financials'!D21/'Hist_Financials'!D6*365,0)+'Scenario_Library'!I44))/365)-'Hist_Financials'!D21 )-( (IFERROR(('Hist_Financials'!D6*(1+'Scenario_Library'!E44))*(1-(MAX(-0.5,MIN(0.9,IFERROR('Hist_Financials'!D8/'Hist_Financials'!D6,0)+'Scenario_Library'!F44/10000))))*(MAX(0,IFERROR('Hist_Financials'!D22/'Hist_Financials'!D7*365,0)+'Scenario_Library'!J44))/365,0))-'Hist_Financials'!D22 )+( (IFERROR(('Hist_Financials'!D6*(1+'Scenario_Library'!E44))*(1-(MAX(-0.5,MIN(0.9,IFERROR('Hist_Financials'!D8/'Hist_Financials'!D6,0)+'Scenario_Library'!F44/10000))))*(MAX(0,IFERROR('Hist_Financials'!D28/'Hist_Financials'!D7*365,0)+'Scenario_Library'!K44))/365,0))-'Hist_Financials'!D28 ))-('Hist_Financials'!D36*(1-'Scenario_Library'!P44))-('Hist_Financials'!D37*(1-'Scenario_Library'!Q44))-('Hist_Financials'!D38*(1-'Scenario_Library'!R44))-('Hist_Financials'!D27*(1-'Scenario_Library'!M44))-('Hist_Financials'!D30*'Scenario_Library'!N44*(1-'Scenario_Library'!O44)))) )/MAX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,0.01),99))&lt;3,(IFERROR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/MAX(((MAX(0,IFERROR('Hist_Financials'!D14/MAX('Hist_Financials'!D27+'Hist_Financials'!D30,1),0)+'Scenario_Library'!L44/10000))*('Hist_Financials'!D27+'Hist_Financials'!D30)),0.01),999))&gt;='Scenario_Setup'!B12,('Hist_Financials'!D32+(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-(MAX(0,((((('Hist_Financials'!D6*(1+'Scenario_Library'!E44))*(MAX(-0.5,MIN(0.9,IFERROR('Hist_Financials'!D8/'Hist_Financials'!D6,0)+'Scenario_Library'!F44/10000))))-(MAX(0,'Hist_Financials'!D9*(1+'Scenario_Setup'!B9*('Scenario_Library'!E44)+('Scenario_Library'!G44))))-(MAX(0,'Hist_Financials'!D10*(1+'Scenario_Library'!H44))))-'Hist_Financials'!D12)-((MAX(0,IFERROR('Hist_Financials'!D14/MAX('Hist_Financials'!D27+'Hist_Financials'!D30,1),0)+'Scenario_Library'!L44/10000))*('Hist_Financials'!D27+'Hist_Financials'!D30))-('Hist_Financials'!D24*'Scenario_Library'!S44)-('Hist_Financials'!D25*'Scenario_Library'!T44)-('Hist_Financials'!D6*'Scenario_Library'!U44)))*'Scenario_Library'!V44))-('Hist_Financials'!D37*(1-'Scenario_Library'!Q44))-('Hist_Financials'!D38*(1-'Scenario_Library'!R44)))&gt;0),"RESILIENT","WATCH")))</f>
        <v/>
      </c>
    </row>
    <row r="42" ht="17" customHeight="1" s="28">
      <c r="B42" s="230">
        <f>'Scenario_Library'!A45</f>
        <v/>
      </c>
      <c r="C42" s="232" t="inlineStr">
        <is>
          <t>Severe</t>
        </is>
      </c>
      <c r="D42" s="221">
        <f>'Hist_Financials'!D6*(1+'Scenario_Library'!E45)</f>
        <v/>
      </c>
      <c r="E42" s="219">
        <f>('Hist_Financials'!D6*(1+'Scenario_Library'!E45))-'Hist_Financials'!D6</f>
        <v/>
      </c>
      <c r="F42" s="220">
        <f>IFERROR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/('Hist_Financials'!D6*(1+'Scenario_Library'!E45)),0)</f>
        <v/>
      </c>
      <c r="G42" s="221">
        <f>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</f>
        <v/>
      </c>
      <c r="H42" s="219">
        <f>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11</f>
        <v/>
      </c>
      <c r="I42" s="221">
        <f>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-(MAX(0,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)*'Scenario_Library'!V45)</f>
        <v/>
      </c>
      <c r="J42" s="221">
        <f>((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-(MAX(0,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)*'Scenario_Library'!V45))+'Hist_Financials'!D12+('Hist_Financials'!D24*'Scenario_Library'!S45)+('Hist_Financials'!D25*'Scenario_Library'!T45)-( (('Hist_Financials'!D6*(1+'Scenario_Library'!E45))*(MAX(0,IFERROR('Hist_Financials'!D21/'Hist_Financials'!D6*365,0)+'Scenario_Library'!I45))/365)-'Hist_Financials'!D21 )-( (IFERROR(('Hist_Financials'!D6*(1+'Scenario_Library'!E45))*(1-(MAX(-0.5,MIN(0.9,IFERROR('Hist_Financials'!D8/'Hist_Financials'!D6,0)+'Scenario_Library'!F45/10000))))*(MAX(0,IFERROR('Hist_Financials'!D22/'Hist_Financials'!D7*365,0)+'Scenario_Library'!J45))/365,0))-'Hist_Financials'!D22 )+( (IFERROR(('Hist_Financials'!D6*(1+'Scenario_Library'!E45))*(1-(MAX(-0.5,MIN(0.9,IFERROR('Hist_Financials'!D8/'Hist_Financials'!D6,0)+'Scenario_Library'!F45/10000))))*(MAX(0,IFERROR('Hist_Financials'!D28/'Hist_Financials'!D7*365,0)+'Scenario_Library'!K45))/365,0))-'Hist_Financials'!D28 ))-('Hist_Financials'!D36*(1-'Scenario_Library'!P45))</f>
        <v/>
      </c>
      <c r="K42" s="221">
        <f>MAX(0,'Hist_Financials'!D20+((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-(MAX(0,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)*'Scenario_Library'!V45))+'Hist_Financials'!D12+('Hist_Financials'!D24*'Scenario_Library'!S45)+('Hist_Financials'!D25*'Scenario_Library'!T45)-( (('Hist_Financials'!D6*(1+'Scenario_Library'!E45))*(MAX(0,IFERROR('Hist_Financials'!D21/'Hist_Financials'!D6*365,0)+'Scenario_Library'!I45))/365)-'Hist_Financials'!D21 )-( (IFERROR(('Hist_Financials'!D6*(1+'Scenario_Library'!E45))*(1-(MAX(-0.5,MIN(0.9,IFERROR('Hist_Financials'!D8/'Hist_Financials'!D6,0)+'Scenario_Library'!F45/10000))))*(MAX(0,IFERROR('Hist_Financials'!D22/'Hist_Financials'!D7*365,0)+'Scenario_Library'!J45))/365,0))-'Hist_Financials'!D22 )+( (IFERROR(('Hist_Financials'!D6*(1+'Scenario_Library'!E45))*(1-(MAX(-0.5,MIN(0.9,IFERROR('Hist_Financials'!D8/'Hist_Financials'!D6,0)+'Scenario_Library'!F45/10000))))*(MAX(0,IFERROR('Hist_Financials'!D28/'Hist_Financials'!D7*365,0)+'Scenario_Library'!K45))/365,0))-'Hist_Financials'!D28 ))-('Hist_Financials'!D36*(1-'Scenario_Library'!P45))-('Hist_Financials'!D37*(1-'Scenario_Library'!Q45))-('Hist_Financials'!D38*(1-'Scenario_Library'!R45))-('Hist_Financials'!D27*(1-'Scenario_Library'!M45))-('Hist_Financials'!D30*'Scenario_Library'!N45*(1-'Scenario_Library'!O45)))</f>
        <v/>
      </c>
      <c r="L42" s="222">
        <f>IF('Hist_Financials'!D6=0,"",IFERROR(( (('Hist_Financials'!D27-('Hist_Financials'!D27*(1-'Scenario_Library'!M45)))+('Hist_Financials'!D30-('Hist_Financials'!D30*'Scenario_Library'!N45*(1-'Scenario_Library'!O45))))-(MAX(0,'Hist_Financials'!D20+((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-(MAX(0,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)*'Scenario_Library'!V45))+'Hist_Financials'!D12+('Hist_Financials'!D24*'Scenario_Library'!S45)+('Hist_Financials'!D25*'Scenario_Library'!T45)-( (('Hist_Financials'!D6*(1+'Scenario_Library'!E45))*(MAX(0,IFERROR('Hist_Financials'!D21/'Hist_Financials'!D6*365,0)+'Scenario_Library'!I45))/365)-'Hist_Financials'!D21 )-( (IFERROR(('Hist_Financials'!D6*(1+'Scenario_Library'!E45))*(1-(MAX(-0.5,MIN(0.9,IFERROR('Hist_Financials'!D8/'Hist_Financials'!D6,0)+'Scenario_Library'!F45/10000))))*(MAX(0,IFERROR('Hist_Financials'!D22/'Hist_Financials'!D7*365,0)+'Scenario_Library'!J45))/365,0))-'Hist_Financials'!D22 )+( (IFERROR(('Hist_Financials'!D6*(1+'Scenario_Library'!E45))*(1-(MAX(-0.5,MIN(0.9,IFERROR('Hist_Financials'!D8/'Hist_Financials'!D6,0)+'Scenario_Library'!F45/10000))))*(MAX(0,IFERROR('Hist_Financials'!D28/'Hist_Financials'!D7*365,0)+'Scenario_Library'!K45))/365,0))-'Hist_Financials'!D28 ))-('Hist_Financials'!D36*(1-'Scenario_Library'!P45))-('Hist_Financials'!D37*(1-'Scenario_Library'!Q45))-('Hist_Financials'!D38*(1-'Scenario_Library'!R45))-('Hist_Financials'!D27*(1-'Scenario_Library'!M45))-('Hist_Financials'!D30*'Scenario_Library'!N45*(1-'Scenario_Library'!O45)))) )/MAX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,0.01),99))</f>
        <v/>
      </c>
      <c r="M42" s="222">
        <f>IF('Hist_Financials'!D6=0,"",IFERROR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/MAX(((MAX(0,IFERROR('Hist_Financials'!D14/MAX('Hist_Financials'!D27+'Hist_Financials'!D30,1),0)+'Scenario_Library'!L45/10000))*('Hist_Financials'!D27+'Hist_Financials'!D30)),0.01),999))</f>
        <v/>
      </c>
      <c r="N42" s="218">
        <f>IF('Hist_Financials'!D6=0,"— NO DATA —",IF(OR((IFERROR(( (('Hist_Financials'!D27-('Hist_Financials'!D27*(1-'Scenario_Library'!M45)))+('Hist_Financials'!D30-('Hist_Financials'!D30*'Scenario_Library'!N45*(1-'Scenario_Library'!O45))))-(MAX(0,'Hist_Financials'!D20+((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-(MAX(0,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)*'Scenario_Library'!V45))+'Hist_Financials'!D12+('Hist_Financials'!D24*'Scenario_Library'!S45)+('Hist_Financials'!D25*'Scenario_Library'!T45)-( (('Hist_Financials'!D6*(1+'Scenario_Library'!E45))*(MAX(0,IFERROR('Hist_Financials'!D21/'Hist_Financials'!D6*365,0)+'Scenario_Library'!I45))/365)-'Hist_Financials'!D21 )-( (IFERROR(('Hist_Financials'!D6*(1+'Scenario_Library'!E45))*(1-(MAX(-0.5,MIN(0.9,IFERROR('Hist_Financials'!D8/'Hist_Financials'!D6,0)+'Scenario_Library'!F45/10000))))*(MAX(0,IFERROR('Hist_Financials'!D22/'Hist_Financials'!D7*365,0)+'Scenario_Library'!J45))/365,0))-'Hist_Financials'!D22 )+( (IFERROR(('Hist_Financials'!D6*(1+'Scenario_Library'!E45))*(1-(MAX(-0.5,MIN(0.9,IFERROR('Hist_Financials'!D8/'Hist_Financials'!D6,0)+'Scenario_Library'!F45/10000))))*(MAX(0,IFERROR('Hist_Financials'!D28/'Hist_Financials'!D7*365,0)+'Scenario_Library'!K45))/365,0))-'Hist_Financials'!D28 ))-('Hist_Financials'!D36*(1-'Scenario_Library'!P45))-('Hist_Financials'!D37*(1-'Scenario_Library'!Q45))-('Hist_Financials'!D38*(1-'Scenario_Library'!R45))-('Hist_Financials'!D27*(1-'Scenario_Library'!M45))-('Hist_Financials'!D30*'Scenario_Library'!N45*(1-'Scenario_Library'!O45)))) )/MAX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,0.01),99))&gt;'Scenario_Setup'!B13,(IFERROR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/MAX(((MAX(0,IFERROR('Hist_Financials'!D14/MAX('Hist_Financials'!D27+'Hist_Financials'!D30,1),0)+'Scenario_Library'!L45/10000))*('Hist_Financials'!D27+'Hist_Financials'!D30)),0.01),999))&lt;'Scenario_Setup'!B12,('Hist_Financials'!D32+(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-(MAX(0,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)*'Scenario_Library'!V45))-('Hist_Financials'!D37*(1-'Scenario_Library'!Q45))-('Hist_Financials'!D38*(1-'Scenario_Library'!R45)))&lt;0,(((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-(MAX(0,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)*'Scenario_Library'!V45))+'Hist_Financials'!D12+('Hist_Financials'!D24*'Scenario_Library'!S45)+('Hist_Financials'!D25*'Scenario_Library'!T45)-( (('Hist_Financials'!D6*(1+'Scenario_Library'!E45))*(MAX(0,IFERROR('Hist_Financials'!D21/'Hist_Financials'!D6*365,0)+'Scenario_Library'!I45))/365)-'Hist_Financials'!D21 )-( (IFERROR(('Hist_Financials'!D6*(1+'Scenario_Library'!E45))*(1-(MAX(-0.5,MIN(0.9,IFERROR('Hist_Financials'!D8/'Hist_Financials'!D6,0)+'Scenario_Library'!F45/10000))))*(MAX(0,IFERROR('Hist_Financials'!D22/'Hist_Financials'!D7*365,0)+'Scenario_Library'!J45))/365,0))-'Hist_Financials'!D22 )+( (IFERROR(('Hist_Financials'!D6*(1+'Scenario_Library'!E45))*(1-(MAX(-0.5,MIN(0.9,IFERROR('Hist_Financials'!D8/'Hist_Financials'!D6,0)+'Scenario_Library'!F45/10000))))*(MAX(0,IFERROR('Hist_Financials'!D28/'Hist_Financials'!D7*365,0)+'Scenario_Library'!K45))/365,0))-'Hist_Financials'!D28 ))-('Hist_Financials'!D36*(1-'Scenario_Library'!P45)))&lt;-0.2*'Hist_Financials'!D6),"CRITICAL",IF(AND((((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-(MAX(0,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)*'Scenario_Library'!V45))+'Hist_Financials'!D12+('Hist_Financials'!D24*'Scenario_Library'!S45)+('Hist_Financials'!D25*'Scenario_Library'!T45)-( (('Hist_Financials'!D6*(1+'Scenario_Library'!E45))*(MAX(0,IFERROR('Hist_Financials'!D21/'Hist_Financials'!D6*365,0)+'Scenario_Library'!I45))/365)-'Hist_Financials'!D21 )-( (IFERROR(('Hist_Financials'!D6*(1+'Scenario_Library'!E45))*(1-(MAX(-0.5,MIN(0.9,IFERROR('Hist_Financials'!D8/'Hist_Financials'!D6,0)+'Scenario_Library'!F45/10000))))*(MAX(0,IFERROR('Hist_Financials'!D22/'Hist_Financials'!D7*365,0)+'Scenario_Library'!J45))/365,0))-'Hist_Financials'!D22 )+( (IFERROR(('Hist_Financials'!D6*(1+'Scenario_Library'!E45))*(1-(MAX(-0.5,MIN(0.9,IFERROR('Hist_Financials'!D8/'Hist_Financials'!D6,0)+'Scenario_Library'!F45/10000))))*(MAX(0,IFERROR('Hist_Financials'!D28/'Hist_Financials'!D7*365,0)+'Scenario_Library'!K45))/365,0))-'Hist_Financials'!D28 ))-('Hist_Financials'!D36*(1-'Scenario_Library'!P45)))&gt;=0,(IFERROR(( (('Hist_Financials'!D27-('Hist_Financials'!D27*(1-'Scenario_Library'!M45)))+('Hist_Financials'!D30-('Hist_Financials'!D30*'Scenario_Library'!N45*(1-'Scenario_Library'!O45))))-(MAX(0,'Hist_Financials'!D20+((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-(MAX(0,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)*'Scenario_Library'!V45))+'Hist_Financials'!D12+('Hist_Financials'!D24*'Scenario_Library'!S45)+('Hist_Financials'!D25*'Scenario_Library'!T45)-( (('Hist_Financials'!D6*(1+'Scenario_Library'!E45))*(MAX(0,IFERROR('Hist_Financials'!D21/'Hist_Financials'!D6*365,0)+'Scenario_Library'!I45))/365)-'Hist_Financials'!D21 )-( (IFERROR(('Hist_Financials'!D6*(1+'Scenario_Library'!E45))*(1-(MAX(-0.5,MIN(0.9,IFERROR('Hist_Financials'!D8/'Hist_Financials'!D6,0)+'Scenario_Library'!F45/10000))))*(MAX(0,IFERROR('Hist_Financials'!D22/'Hist_Financials'!D7*365,0)+'Scenario_Library'!J45))/365,0))-'Hist_Financials'!D22 )+( (IFERROR(('Hist_Financials'!D6*(1+'Scenario_Library'!E45))*(1-(MAX(-0.5,MIN(0.9,IFERROR('Hist_Financials'!D8/'Hist_Financials'!D6,0)+'Scenario_Library'!F45/10000))))*(MAX(0,IFERROR('Hist_Financials'!D28/'Hist_Financials'!D7*365,0)+'Scenario_Library'!K45))/365,0))-'Hist_Financials'!D28 ))-('Hist_Financials'!D36*(1-'Scenario_Library'!P45))-('Hist_Financials'!D37*(1-'Scenario_Library'!Q45))-('Hist_Financials'!D38*(1-'Scenario_Library'!R45))-('Hist_Financials'!D27*(1-'Scenario_Library'!M45))-('Hist_Financials'!D30*'Scenario_Library'!N45*(1-'Scenario_Library'!O45)))) )/MAX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,0.01),99))&lt;3,(IFERROR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/MAX(((MAX(0,IFERROR('Hist_Financials'!D14/MAX('Hist_Financials'!D27+'Hist_Financials'!D30,1),0)+'Scenario_Library'!L45/10000))*('Hist_Financials'!D27+'Hist_Financials'!D30)),0.01),999))&gt;='Scenario_Setup'!B12,('Hist_Financials'!D32+(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-(MAX(0,((((('Hist_Financials'!D6*(1+'Scenario_Library'!E45))*(MAX(-0.5,MIN(0.9,IFERROR('Hist_Financials'!D8/'Hist_Financials'!D6,0)+'Scenario_Library'!F45/10000))))-(MAX(0,'Hist_Financials'!D9*(1+'Scenario_Setup'!B9*('Scenario_Library'!E45)+('Scenario_Library'!G45))))-(MAX(0,'Hist_Financials'!D10*(1+'Scenario_Library'!H45))))-'Hist_Financials'!D12)-((MAX(0,IFERROR('Hist_Financials'!D14/MAX('Hist_Financials'!D27+'Hist_Financials'!D30,1),0)+'Scenario_Library'!L45/10000))*('Hist_Financials'!D27+'Hist_Financials'!D30))-('Hist_Financials'!D24*'Scenario_Library'!S45)-('Hist_Financials'!D25*'Scenario_Library'!T45)-('Hist_Financials'!D6*'Scenario_Library'!U45)))*'Scenario_Library'!V45))-('Hist_Financials'!D37*(1-'Scenario_Library'!Q45))-('Hist_Financials'!D38*(1-'Scenario_Library'!R45)))&gt;0),"RESILIENT","WATCH")))</f>
        <v/>
      </c>
    </row>
    <row r="43" ht="17" customHeight="1" s="28">
      <c r="B43" s="223">
        <f>'Scenario_Library'!A46</f>
        <v/>
      </c>
      <c r="C43" s="224" t="inlineStr">
        <is>
          <t>Light</t>
        </is>
      </c>
      <c r="D43" s="225">
        <f>'Hist_Financials'!D6*(1+'Scenario_Library'!E46)</f>
        <v/>
      </c>
      <c r="E43" s="226">
        <f>('Hist_Financials'!D6*(1+'Scenario_Library'!E46))-'Hist_Financials'!D6</f>
        <v/>
      </c>
      <c r="F43" s="227">
        <f>IFERROR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/('Hist_Financials'!D6*(1+'Scenario_Library'!E46)),0)</f>
        <v/>
      </c>
      <c r="G43" s="225">
        <f>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</f>
        <v/>
      </c>
      <c r="H43" s="226">
        <f>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11</f>
        <v/>
      </c>
      <c r="I43" s="225">
        <f>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-(MAX(0,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)*'Scenario_Library'!V46)</f>
        <v/>
      </c>
      <c r="J43" s="225">
        <f>((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-(MAX(0,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)*'Scenario_Library'!V46))+'Hist_Financials'!D12+('Hist_Financials'!D24*'Scenario_Library'!S46)+('Hist_Financials'!D25*'Scenario_Library'!T46)-( (('Hist_Financials'!D6*(1+'Scenario_Library'!E46))*(MAX(0,IFERROR('Hist_Financials'!D21/'Hist_Financials'!D6*365,0)+'Scenario_Library'!I46))/365)-'Hist_Financials'!D21 )-( (IFERROR(('Hist_Financials'!D6*(1+'Scenario_Library'!E46))*(1-(MAX(-0.5,MIN(0.9,IFERROR('Hist_Financials'!D8/'Hist_Financials'!D6,0)+'Scenario_Library'!F46/10000))))*(MAX(0,IFERROR('Hist_Financials'!D22/'Hist_Financials'!D7*365,0)+'Scenario_Library'!J46))/365,0))-'Hist_Financials'!D22 )+( (IFERROR(('Hist_Financials'!D6*(1+'Scenario_Library'!E46))*(1-(MAX(-0.5,MIN(0.9,IFERROR('Hist_Financials'!D8/'Hist_Financials'!D6,0)+'Scenario_Library'!F46/10000))))*(MAX(0,IFERROR('Hist_Financials'!D28/'Hist_Financials'!D7*365,0)+'Scenario_Library'!K46))/365,0))-'Hist_Financials'!D28 ))-('Hist_Financials'!D36*(1-'Scenario_Library'!P46))</f>
        <v/>
      </c>
      <c r="K43" s="225">
        <f>MAX(0,'Hist_Financials'!D20+((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-(MAX(0,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)*'Scenario_Library'!V46))+'Hist_Financials'!D12+('Hist_Financials'!D24*'Scenario_Library'!S46)+('Hist_Financials'!D25*'Scenario_Library'!T46)-( (('Hist_Financials'!D6*(1+'Scenario_Library'!E46))*(MAX(0,IFERROR('Hist_Financials'!D21/'Hist_Financials'!D6*365,0)+'Scenario_Library'!I46))/365)-'Hist_Financials'!D21 )-( (IFERROR(('Hist_Financials'!D6*(1+'Scenario_Library'!E46))*(1-(MAX(-0.5,MIN(0.9,IFERROR('Hist_Financials'!D8/'Hist_Financials'!D6,0)+'Scenario_Library'!F46/10000))))*(MAX(0,IFERROR('Hist_Financials'!D22/'Hist_Financials'!D7*365,0)+'Scenario_Library'!J46))/365,0))-'Hist_Financials'!D22 )+( (IFERROR(('Hist_Financials'!D6*(1+'Scenario_Library'!E46))*(1-(MAX(-0.5,MIN(0.9,IFERROR('Hist_Financials'!D8/'Hist_Financials'!D6,0)+'Scenario_Library'!F46/10000))))*(MAX(0,IFERROR('Hist_Financials'!D28/'Hist_Financials'!D7*365,0)+'Scenario_Library'!K46))/365,0))-'Hist_Financials'!D28 ))-('Hist_Financials'!D36*(1-'Scenario_Library'!P46))-('Hist_Financials'!D37*(1-'Scenario_Library'!Q46))-('Hist_Financials'!D38*(1-'Scenario_Library'!R46))-('Hist_Financials'!D27*(1-'Scenario_Library'!M46))-('Hist_Financials'!D30*'Scenario_Library'!N46*(1-'Scenario_Library'!O46)))</f>
        <v/>
      </c>
      <c r="L43" s="228">
        <f>IF('Hist_Financials'!D6=0,"",IFERROR(( (('Hist_Financials'!D27-('Hist_Financials'!D27*(1-'Scenario_Library'!M46)))+('Hist_Financials'!D30-('Hist_Financials'!D30*'Scenario_Library'!N46*(1-'Scenario_Library'!O46))))-(MAX(0,'Hist_Financials'!D20+((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-(MAX(0,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)*'Scenario_Library'!V46))+'Hist_Financials'!D12+('Hist_Financials'!D24*'Scenario_Library'!S46)+('Hist_Financials'!D25*'Scenario_Library'!T46)-( (('Hist_Financials'!D6*(1+'Scenario_Library'!E46))*(MAX(0,IFERROR('Hist_Financials'!D21/'Hist_Financials'!D6*365,0)+'Scenario_Library'!I46))/365)-'Hist_Financials'!D21 )-( (IFERROR(('Hist_Financials'!D6*(1+'Scenario_Library'!E46))*(1-(MAX(-0.5,MIN(0.9,IFERROR('Hist_Financials'!D8/'Hist_Financials'!D6,0)+'Scenario_Library'!F46/10000))))*(MAX(0,IFERROR('Hist_Financials'!D22/'Hist_Financials'!D7*365,0)+'Scenario_Library'!J46))/365,0))-'Hist_Financials'!D22 )+( (IFERROR(('Hist_Financials'!D6*(1+'Scenario_Library'!E46))*(1-(MAX(-0.5,MIN(0.9,IFERROR('Hist_Financials'!D8/'Hist_Financials'!D6,0)+'Scenario_Library'!F46/10000))))*(MAX(0,IFERROR('Hist_Financials'!D28/'Hist_Financials'!D7*365,0)+'Scenario_Library'!K46))/365,0))-'Hist_Financials'!D28 ))-('Hist_Financials'!D36*(1-'Scenario_Library'!P46))-('Hist_Financials'!D37*(1-'Scenario_Library'!Q46))-('Hist_Financials'!D38*(1-'Scenario_Library'!R46))-('Hist_Financials'!D27*(1-'Scenario_Library'!M46))-('Hist_Financials'!D30*'Scenario_Library'!N46*(1-'Scenario_Library'!O46)))) )/MAX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,0.01),99))</f>
        <v/>
      </c>
      <c r="M43" s="228">
        <f>IF('Hist_Financials'!D6=0,"",IFERROR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/MAX(((MAX(0,IFERROR('Hist_Financials'!D14/MAX('Hist_Financials'!D27+'Hist_Financials'!D30,1),0)+'Scenario_Library'!L46/10000))*('Hist_Financials'!D27+'Hist_Financials'!D30)),0.01),999))</f>
        <v/>
      </c>
      <c r="N43" s="229">
        <f>IF('Hist_Financials'!D6=0,"— NO DATA —",IF(OR((IFERROR(( (('Hist_Financials'!D27-('Hist_Financials'!D27*(1-'Scenario_Library'!M46)))+('Hist_Financials'!D30-('Hist_Financials'!D30*'Scenario_Library'!N46*(1-'Scenario_Library'!O46))))-(MAX(0,'Hist_Financials'!D20+((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-(MAX(0,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)*'Scenario_Library'!V46))+'Hist_Financials'!D12+('Hist_Financials'!D24*'Scenario_Library'!S46)+('Hist_Financials'!D25*'Scenario_Library'!T46)-( (('Hist_Financials'!D6*(1+'Scenario_Library'!E46))*(MAX(0,IFERROR('Hist_Financials'!D21/'Hist_Financials'!D6*365,0)+'Scenario_Library'!I46))/365)-'Hist_Financials'!D21 )-( (IFERROR(('Hist_Financials'!D6*(1+'Scenario_Library'!E46))*(1-(MAX(-0.5,MIN(0.9,IFERROR('Hist_Financials'!D8/'Hist_Financials'!D6,0)+'Scenario_Library'!F46/10000))))*(MAX(0,IFERROR('Hist_Financials'!D22/'Hist_Financials'!D7*365,0)+'Scenario_Library'!J46))/365,0))-'Hist_Financials'!D22 )+( (IFERROR(('Hist_Financials'!D6*(1+'Scenario_Library'!E46))*(1-(MAX(-0.5,MIN(0.9,IFERROR('Hist_Financials'!D8/'Hist_Financials'!D6,0)+'Scenario_Library'!F46/10000))))*(MAX(0,IFERROR('Hist_Financials'!D28/'Hist_Financials'!D7*365,0)+'Scenario_Library'!K46))/365,0))-'Hist_Financials'!D28 ))-('Hist_Financials'!D36*(1-'Scenario_Library'!P46))-('Hist_Financials'!D37*(1-'Scenario_Library'!Q46))-('Hist_Financials'!D38*(1-'Scenario_Library'!R46))-('Hist_Financials'!D27*(1-'Scenario_Library'!M46))-('Hist_Financials'!D30*'Scenario_Library'!N46*(1-'Scenario_Library'!O46)))) )/MAX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,0.01),99))&gt;'Scenario_Setup'!B13,(IFERROR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/MAX(((MAX(0,IFERROR('Hist_Financials'!D14/MAX('Hist_Financials'!D27+'Hist_Financials'!D30,1),0)+'Scenario_Library'!L46/10000))*('Hist_Financials'!D27+'Hist_Financials'!D30)),0.01),999))&lt;'Scenario_Setup'!B12,('Hist_Financials'!D32+(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-(MAX(0,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)*'Scenario_Library'!V46))-('Hist_Financials'!D37*(1-'Scenario_Library'!Q46))-('Hist_Financials'!D38*(1-'Scenario_Library'!R46)))&lt;0,(((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-(MAX(0,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)*'Scenario_Library'!V46))+'Hist_Financials'!D12+('Hist_Financials'!D24*'Scenario_Library'!S46)+('Hist_Financials'!D25*'Scenario_Library'!T46)-( (('Hist_Financials'!D6*(1+'Scenario_Library'!E46))*(MAX(0,IFERROR('Hist_Financials'!D21/'Hist_Financials'!D6*365,0)+'Scenario_Library'!I46))/365)-'Hist_Financials'!D21 )-( (IFERROR(('Hist_Financials'!D6*(1+'Scenario_Library'!E46))*(1-(MAX(-0.5,MIN(0.9,IFERROR('Hist_Financials'!D8/'Hist_Financials'!D6,0)+'Scenario_Library'!F46/10000))))*(MAX(0,IFERROR('Hist_Financials'!D22/'Hist_Financials'!D7*365,0)+'Scenario_Library'!J46))/365,0))-'Hist_Financials'!D22 )+( (IFERROR(('Hist_Financials'!D6*(1+'Scenario_Library'!E46))*(1-(MAX(-0.5,MIN(0.9,IFERROR('Hist_Financials'!D8/'Hist_Financials'!D6,0)+'Scenario_Library'!F46/10000))))*(MAX(0,IFERROR('Hist_Financials'!D28/'Hist_Financials'!D7*365,0)+'Scenario_Library'!K46))/365,0))-'Hist_Financials'!D28 ))-('Hist_Financials'!D36*(1-'Scenario_Library'!P46)))&lt;-0.2*'Hist_Financials'!D6),"CRITICAL",IF(AND((((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-(MAX(0,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)*'Scenario_Library'!V46))+'Hist_Financials'!D12+('Hist_Financials'!D24*'Scenario_Library'!S46)+('Hist_Financials'!D25*'Scenario_Library'!T46)-( (('Hist_Financials'!D6*(1+'Scenario_Library'!E46))*(MAX(0,IFERROR('Hist_Financials'!D21/'Hist_Financials'!D6*365,0)+'Scenario_Library'!I46))/365)-'Hist_Financials'!D21 )-( (IFERROR(('Hist_Financials'!D6*(1+'Scenario_Library'!E46))*(1-(MAX(-0.5,MIN(0.9,IFERROR('Hist_Financials'!D8/'Hist_Financials'!D6,0)+'Scenario_Library'!F46/10000))))*(MAX(0,IFERROR('Hist_Financials'!D22/'Hist_Financials'!D7*365,0)+'Scenario_Library'!J46))/365,0))-'Hist_Financials'!D22 )+( (IFERROR(('Hist_Financials'!D6*(1+'Scenario_Library'!E46))*(1-(MAX(-0.5,MIN(0.9,IFERROR('Hist_Financials'!D8/'Hist_Financials'!D6,0)+'Scenario_Library'!F46/10000))))*(MAX(0,IFERROR('Hist_Financials'!D28/'Hist_Financials'!D7*365,0)+'Scenario_Library'!K46))/365,0))-'Hist_Financials'!D28 ))-('Hist_Financials'!D36*(1-'Scenario_Library'!P46)))&gt;=0,(IFERROR(( (('Hist_Financials'!D27-('Hist_Financials'!D27*(1-'Scenario_Library'!M46)))+('Hist_Financials'!D30-('Hist_Financials'!D30*'Scenario_Library'!N46*(1-'Scenario_Library'!O46))))-(MAX(0,'Hist_Financials'!D20+((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-(MAX(0,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)*'Scenario_Library'!V46))+'Hist_Financials'!D12+('Hist_Financials'!D24*'Scenario_Library'!S46)+('Hist_Financials'!D25*'Scenario_Library'!T46)-( (('Hist_Financials'!D6*(1+'Scenario_Library'!E46))*(MAX(0,IFERROR('Hist_Financials'!D21/'Hist_Financials'!D6*365,0)+'Scenario_Library'!I46))/365)-'Hist_Financials'!D21 )-( (IFERROR(('Hist_Financials'!D6*(1+'Scenario_Library'!E46))*(1-(MAX(-0.5,MIN(0.9,IFERROR('Hist_Financials'!D8/'Hist_Financials'!D6,0)+'Scenario_Library'!F46/10000))))*(MAX(0,IFERROR('Hist_Financials'!D22/'Hist_Financials'!D7*365,0)+'Scenario_Library'!J46))/365,0))-'Hist_Financials'!D22 )+( (IFERROR(('Hist_Financials'!D6*(1+'Scenario_Library'!E46))*(1-(MAX(-0.5,MIN(0.9,IFERROR('Hist_Financials'!D8/'Hist_Financials'!D6,0)+'Scenario_Library'!F46/10000))))*(MAX(0,IFERROR('Hist_Financials'!D28/'Hist_Financials'!D7*365,0)+'Scenario_Library'!K46))/365,0))-'Hist_Financials'!D28 ))-('Hist_Financials'!D36*(1-'Scenario_Library'!P46))-('Hist_Financials'!D37*(1-'Scenario_Library'!Q46))-('Hist_Financials'!D38*(1-'Scenario_Library'!R46))-('Hist_Financials'!D27*(1-'Scenario_Library'!M46))-('Hist_Financials'!D30*'Scenario_Library'!N46*(1-'Scenario_Library'!O46)))) )/MAX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,0.01),99))&lt;3,(IFERROR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/MAX(((MAX(0,IFERROR('Hist_Financials'!D14/MAX('Hist_Financials'!D27+'Hist_Financials'!D30,1),0)+'Scenario_Library'!L46/10000))*('Hist_Financials'!D27+'Hist_Financials'!D30)),0.01),999))&gt;='Scenario_Setup'!B12,('Hist_Financials'!D32+(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-(MAX(0,((((('Hist_Financials'!D6*(1+'Scenario_Library'!E46))*(MAX(-0.5,MIN(0.9,IFERROR('Hist_Financials'!D8/'Hist_Financials'!D6,0)+'Scenario_Library'!F46/10000))))-(MAX(0,'Hist_Financials'!D9*(1+'Scenario_Setup'!B9*('Scenario_Library'!E46)+('Scenario_Library'!G46))))-(MAX(0,'Hist_Financials'!D10*(1+'Scenario_Library'!H46))))-'Hist_Financials'!D12)-((MAX(0,IFERROR('Hist_Financials'!D14/MAX('Hist_Financials'!D27+'Hist_Financials'!D30,1),0)+'Scenario_Library'!L46/10000))*('Hist_Financials'!D27+'Hist_Financials'!D30))-('Hist_Financials'!D24*'Scenario_Library'!S46)-('Hist_Financials'!D25*'Scenario_Library'!T46)-('Hist_Financials'!D6*'Scenario_Library'!U46)))*'Scenario_Library'!V46))-('Hist_Financials'!D37*(1-'Scenario_Library'!Q46))-('Hist_Financials'!D38*(1-'Scenario_Library'!R46)))&gt;0),"RESILIENT","WATCH")))</f>
        <v/>
      </c>
    </row>
    <row r="44" ht="17" customHeight="1" s="28">
      <c r="B44" s="230">
        <f>'Scenario_Library'!A47</f>
        <v/>
      </c>
      <c r="C44" s="231" t="inlineStr">
        <is>
          <t>Base</t>
        </is>
      </c>
      <c r="D44" s="215">
        <f>'Hist_Financials'!D6*(1+'Scenario_Library'!E47)</f>
        <v/>
      </c>
      <c r="E44" s="213">
        <f>('Hist_Financials'!D6*(1+'Scenario_Library'!E47))-'Hist_Financials'!D6</f>
        <v/>
      </c>
      <c r="F44" s="214">
        <f>IFERROR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/('Hist_Financials'!D6*(1+'Scenario_Library'!E47)),0)</f>
        <v/>
      </c>
      <c r="G44" s="215">
        <f>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</f>
        <v/>
      </c>
      <c r="H44" s="213">
        <f>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11</f>
        <v/>
      </c>
      <c r="I44" s="215">
        <f>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-(MAX(0,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)*'Scenario_Library'!V47)</f>
        <v/>
      </c>
      <c r="J44" s="215">
        <f>((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-(MAX(0,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)*'Scenario_Library'!V47))+'Hist_Financials'!D12+('Hist_Financials'!D24*'Scenario_Library'!S47)+('Hist_Financials'!D25*'Scenario_Library'!T47)-( (('Hist_Financials'!D6*(1+'Scenario_Library'!E47))*(MAX(0,IFERROR('Hist_Financials'!D21/'Hist_Financials'!D6*365,0)+'Scenario_Library'!I47))/365)-'Hist_Financials'!D21 )-( (IFERROR(('Hist_Financials'!D6*(1+'Scenario_Library'!E47))*(1-(MAX(-0.5,MIN(0.9,IFERROR('Hist_Financials'!D8/'Hist_Financials'!D6,0)+'Scenario_Library'!F47/10000))))*(MAX(0,IFERROR('Hist_Financials'!D22/'Hist_Financials'!D7*365,0)+'Scenario_Library'!J47))/365,0))-'Hist_Financials'!D22 )+( (IFERROR(('Hist_Financials'!D6*(1+'Scenario_Library'!E47))*(1-(MAX(-0.5,MIN(0.9,IFERROR('Hist_Financials'!D8/'Hist_Financials'!D6,0)+'Scenario_Library'!F47/10000))))*(MAX(0,IFERROR('Hist_Financials'!D28/'Hist_Financials'!D7*365,0)+'Scenario_Library'!K47))/365,0))-'Hist_Financials'!D28 ))-('Hist_Financials'!D36*(1-'Scenario_Library'!P47))</f>
        <v/>
      </c>
      <c r="K44" s="215">
        <f>MAX(0,'Hist_Financials'!D20+((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-(MAX(0,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)*'Scenario_Library'!V47))+'Hist_Financials'!D12+('Hist_Financials'!D24*'Scenario_Library'!S47)+('Hist_Financials'!D25*'Scenario_Library'!T47)-( (('Hist_Financials'!D6*(1+'Scenario_Library'!E47))*(MAX(0,IFERROR('Hist_Financials'!D21/'Hist_Financials'!D6*365,0)+'Scenario_Library'!I47))/365)-'Hist_Financials'!D21 )-( (IFERROR(('Hist_Financials'!D6*(1+'Scenario_Library'!E47))*(1-(MAX(-0.5,MIN(0.9,IFERROR('Hist_Financials'!D8/'Hist_Financials'!D6,0)+'Scenario_Library'!F47/10000))))*(MAX(0,IFERROR('Hist_Financials'!D22/'Hist_Financials'!D7*365,0)+'Scenario_Library'!J47))/365,0))-'Hist_Financials'!D22 )+( (IFERROR(('Hist_Financials'!D6*(1+'Scenario_Library'!E47))*(1-(MAX(-0.5,MIN(0.9,IFERROR('Hist_Financials'!D8/'Hist_Financials'!D6,0)+'Scenario_Library'!F47/10000))))*(MAX(0,IFERROR('Hist_Financials'!D28/'Hist_Financials'!D7*365,0)+'Scenario_Library'!K47))/365,0))-'Hist_Financials'!D28 ))-('Hist_Financials'!D36*(1-'Scenario_Library'!P47))-('Hist_Financials'!D37*(1-'Scenario_Library'!Q47))-('Hist_Financials'!D38*(1-'Scenario_Library'!R47))-('Hist_Financials'!D27*(1-'Scenario_Library'!M47))-('Hist_Financials'!D30*'Scenario_Library'!N47*(1-'Scenario_Library'!O47)))</f>
        <v/>
      </c>
      <c r="L44" s="216">
        <f>IF('Hist_Financials'!D6=0,"",IFERROR(( (('Hist_Financials'!D27-('Hist_Financials'!D27*(1-'Scenario_Library'!M47)))+('Hist_Financials'!D30-('Hist_Financials'!D30*'Scenario_Library'!N47*(1-'Scenario_Library'!O47))))-(MAX(0,'Hist_Financials'!D20+((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-(MAX(0,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)*'Scenario_Library'!V47))+'Hist_Financials'!D12+('Hist_Financials'!D24*'Scenario_Library'!S47)+('Hist_Financials'!D25*'Scenario_Library'!T47)-( (('Hist_Financials'!D6*(1+'Scenario_Library'!E47))*(MAX(0,IFERROR('Hist_Financials'!D21/'Hist_Financials'!D6*365,0)+'Scenario_Library'!I47))/365)-'Hist_Financials'!D21 )-( (IFERROR(('Hist_Financials'!D6*(1+'Scenario_Library'!E47))*(1-(MAX(-0.5,MIN(0.9,IFERROR('Hist_Financials'!D8/'Hist_Financials'!D6,0)+'Scenario_Library'!F47/10000))))*(MAX(0,IFERROR('Hist_Financials'!D22/'Hist_Financials'!D7*365,0)+'Scenario_Library'!J47))/365,0))-'Hist_Financials'!D22 )+( (IFERROR(('Hist_Financials'!D6*(1+'Scenario_Library'!E47))*(1-(MAX(-0.5,MIN(0.9,IFERROR('Hist_Financials'!D8/'Hist_Financials'!D6,0)+'Scenario_Library'!F47/10000))))*(MAX(0,IFERROR('Hist_Financials'!D28/'Hist_Financials'!D7*365,0)+'Scenario_Library'!K47))/365,0))-'Hist_Financials'!D28 ))-('Hist_Financials'!D36*(1-'Scenario_Library'!P47))-('Hist_Financials'!D37*(1-'Scenario_Library'!Q47))-('Hist_Financials'!D38*(1-'Scenario_Library'!R47))-('Hist_Financials'!D27*(1-'Scenario_Library'!M47))-('Hist_Financials'!D30*'Scenario_Library'!N47*(1-'Scenario_Library'!O47)))) )/MAX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,0.01),99))</f>
        <v/>
      </c>
      <c r="M44" s="216">
        <f>IF('Hist_Financials'!D6=0,"",IFERROR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/MAX(((MAX(0,IFERROR('Hist_Financials'!D14/MAX('Hist_Financials'!D27+'Hist_Financials'!D30,1),0)+'Scenario_Library'!L47/10000))*('Hist_Financials'!D27+'Hist_Financials'!D30)),0.01),999))</f>
        <v/>
      </c>
      <c r="N44" s="212">
        <f>IF('Hist_Financials'!D6=0,"— NO DATA —",IF(OR((IFERROR(( (('Hist_Financials'!D27-('Hist_Financials'!D27*(1-'Scenario_Library'!M47)))+('Hist_Financials'!D30-('Hist_Financials'!D30*'Scenario_Library'!N47*(1-'Scenario_Library'!O47))))-(MAX(0,'Hist_Financials'!D20+((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-(MAX(0,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)*'Scenario_Library'!V47))+'Hist_Financials'!D12+('Hist_Financials'!D24*'Scenario_Library'!S47)+('Hist_Financials'!D25*'Scenario_Library'!T47)-( (('Hist_Financials'!D6*(1+'Scenario_Library'!E47))*(MAX(0,IFERROR('Hist_Financials'!D21/'Hist_Financials'!D6*365,0)+'Scenario_Library'!I47))/365)-'Hist_Financials'!D21 )-( (IFERROR(('Hist_Financials'!D6*(1+'Scenario_Library'!E47))*(1-(MAX(-0.5,MIN(0.9,IFERROR('Hist_Financials'!D8/'Hist_Financials'!D6,0)+'Scenario_Library'!F47/10000))))*(MAX(0,IFERROR('Hist_Financials'!D22/'Hist_Financials'!D7*365,0)+'Scenario_Library'!J47))/365,0))-'Hist_Financials'!D22 )+( (IFERROR(('Hist_Financials'!D6*(1+'Scenario_Library'!E47))*(1-(MAX(-0.5,MIN(0.9,IFERROR('Hist_Financials'!D8/'Hist_Financials'!D6,0)+'Scenario_Library'!F47/10000))))*(MAX(0,IFERROR('Hist_Financials'!D28/'Hist_Financials'!D7*365,0)+'Scenario_Library'!K47))/365,0))-'Hist_Financials'!D28 ))-('Hist_Financials'!D36*(1-'Scenario_Library'!P47))-('Hist_Financials'!D37*(1-'Scenario_Library'!Q47))-('Hist_Financials'!D38*(1-'Scenario_Library'!R47))-('Hist_Financials'!D27*(1-'Scenario_Library'!M47))-('Hist_Financials'!D30*'Scenario_Library'!N47*(1-'Scenario_Library'!O47)))) )/MAX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,0.01),99))&gt;'Scenario_Setup'!B13,(IFERROR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/MAX(((MAX(0,IFERROR('Hist_Financials'!D14/MAX('Hist_Financials'!D27+'Hist_Financials'!D30,1),0)+'Scenario_Library'!L47/10000))*('Hist_Financials'!D27+'Hist_Financials'!D30)),0.01),999))&lt;'Scenario_Setup'!B12,('Hist_Financials'!D32+(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-(MAX(0,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)*'Scenario_Library'!V47))-('Hist_Financials'!D37*(1-'Scenario_Library'!Q47))-('Hist_Financials'!D38*(1-'Scenario_Library'!R47)))&lt;0,(((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-(MAX(0,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)*'Scenario_Library'!V47))+'Hist_Financials'!D12+('Hist_Financials'!D24*'Scenario_Library'!S47)+('Hist_Financials'!D25*'Scenario_Library'!T47)-( (('Hist_Financials'!D6*(1+'Scenario_Library'!E47))*(MAX(0,IFERROR('Hist_Financials'!D21/'Hist_Financials'!D6*365,0)+'Scenario_Library'!I47))/365)-'Hist_Financials'!D21 )-( (IFERROR(('Hist_Financials'!D6*(1+'Scenario_Library'!E47))*(1-(MAX(-0.5,MIN(0.9,IFERROR('Hist_Financials'!D8/'Hist_Financials'!D6,0)+'Scenario_Library'!F47/10000))))*(MAX(0,IFERROR('Hist_Financials'!D22/'Hist_Financials'!D7*365,0)+'Scenario_Library'!J47))/365,0))-'Hist_Financials'!D22 )+( (IFERROR(('Hist_Financials'!D6*(1+'Scenario_Library'!E47))*(1-(MAX(-0.5,MIN(0.9,IFERROR('Hist_Financials'!D8/'Hist_Financials'!D6,0)+'Scenario_Library'!F47/10000))))*(MAX(0,IFERROR('Hist_Financials'!D28/'Hist_Financials'!D7*365,0)+'Scenario_Library'!K47))/365,0))-'Hist_Financials'!D28 ))-('Hist_Financials'!D36*(1-'Scenario_Library'!P47)))&lt;-0.2*'Hist_Financials'!D6),"CRITICAL",IF(AND((((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-(MAX(0,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)*'Scenario_Library'!V47))+'Hist_Financials'!D12+('Hist_Financials'!D24*'Scenario_Library'!S47)+('Hist_Financials'!D25*'Scenario_Library'!T47)-( (('Hist_Financials'!D6*(1+'Scenario_Library'!E47))*(MAX(0,IFERROR('Hist_Financials'!D21/'Hist_Financials'!D6*365,0)+'Scenario_Library'!I47))/365)-'Hist_Financials'!D21 )-( (IFERROR(('Hist_Financials'!D6*(1+'Scenario_Library'!E47))*(1-(MAX(-0.5,MIN(0.9,IFERROR('Hist_Financials'!D8/'Hist_Financials'!D6,0)+'Scenario_Library'!F47/10000))))*(MAX(0,IFERROR('Hist_Financials'!D22/'Hist_Financials'!D7*365,0)+'Scenario_Library'!J47))/365,0))-'Hist_Financials'!D22 )+( (IFERROR(('Hist_Financials'!D6*(1+'Scenario_Library'!E47))*(1-(MAX(-0.5,MIN(0.9,IFERROR('Hist_Financials'!D8/'Hist_Financials'!D6,0)+'Scenario_Library'!F47/10000))))*(MAX(0,IFERROR('Hist_Financials'!D28/'Hist_Financials'!D7*365,0)+'Scenario_Library'!K47))/365,0))-'Hist_Financials'!D28 ))-('Hist_Financials'!D36*(1-'Scenario_Library'!P47)))&gt;=0,(IFERROR(( (('Hist_Financials'!D27-('Hist_Financials'!D27*(1-'Scenario_Library'!M47)))+('Hist_Financials'!D30-('Hist_Financials'!D30*'Scenario_Library'!N47*(1-'Scenario_Library'!O47))))-(MAX(0,'Hist_Financials'!D20+((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-(MAX(0,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)*'Scenario_Library'!V47))+'Hist_Financials'!D12+('Hist_Financials'!D24*'Scenario_Library'!S47)+('Hist_Financials'!D25*'Scenario_Library'!T47)-( (('Hist_Financials'!D6*(1+'Scenario_Library'!E47))*(MAX(0,IFERROR('Hist_Financials'!D21/'Hist_Financials'!D6*365,0)+'Scenario_Library'!I47))/365)-'Hist_Financials'!D21 )-( (IFERROR(('Hist_Financials'!D6*(1+'Scenario_Library'!E47))*(1-(MAX(-0.5,MIN(0.9,IFERROR('Hist_Financials'!D8/'Hist_Financials'!D6,0)+'Scenario_Library'!F47/10000))))*(MAX(0,IFERROR('Hist_Financials'!D22/'Hist_Financials'!D7*365,0)+'Scenario_Library'!J47))/365,0))-'Hist_Financials'!D22 )+( (IFERROR(('Hist_Financials'!D6*(1+'Scenario_Library'!E47))*(1-(MAX(-0.5,MIN(0.9,IFERROR('Hist_Financials'!D8/'Hist_Financials'!D6,0)+'Scenario_Library'!F47/10000))))*(MAX(0,IFERROR('Hist_Financials'!D28/'Hist_Financials'!D7*365,0)+'Scenario_Library'!K47))/365,0))-'Hist_Financials'!D28 ))-('Hist_Financials'!D36*(1-'Scenario_Library'!P47))-('Hist_Financials'!D37*(1-'Scenario_Library'!Q47))-('Hist_Financials'!D38*(1-'Scenario_Library'!R47))-('Hist_Financials'!D27*(1-'Scenario_Library'!M47))-('Hist_Financials'!D30*'Scenario_Library'!N47*(1-'Scenario_Library'!O47)))) )/MAX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,0.01),99))&lt;3,(IFERROR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/MAX(((MAX(0,IFERROR('Hist_Financials'!D14/MAX('Hist_Financials'!D27+'Hist_Financials'!D30,1),0)+'Scenario_Library'!L47/10000))*('Hist_Financials'!D27+'Hist_Financials'!D30)),0.01),999))&gt;='Scenario_Setup'!B12,('Hist_Financials'!D32+(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-(MAX(0,((((('Hist_Financials'!D6*(1+'Scenario_Library'!E47))*(MAX(-0.5,MIN(0.9,IFERROR('Hist_Financials'!D8/'Hist_Financials'!D6,0)+'Scenario_Library'!F47/10000))))-(MAX(0,'Hist_Financials'!D9*(1+'Scenario_Setup'!B9*('Scenario_Library'!E47)+('Scenario_Library'!G47))))-(MAX(0,'Hist_Financials'!D10*(1+'Scenario_Library'!H47))))-'Hist_Financials'!D12)-((MAX(0,IFERROR('Hist_Financials'!D14/MAX('Hist_Financials'!D27+'Hist_Financials'!D30,1),0)+'Scenario_Library'!L47/10000))*('Hist_Financials'!D27+'Hist_Financials'!D30))-('Hist_Financials'!D24*'Scenario_Library'!S47)-('Hist_Financials'!D25*'Scenario_Library'!T47)-('Hist_Financials'!D6*'Scenario_Library'!U47)))*'Scenario_Library'!V47))-('Hist_Financials'!D37*(1-'Scenario_Library'!Q47))-('Hist_Financials'!D38*(1-'Scenario_Library'!R47)))&gt;0),"RESILIENT","WATCH")))</f>
        <v/>
      </c>
    </row>
    <row r="45" ht="17" customHeight="1" s="28">
      <c r="B45" s="230">
        <f>'Scenario_Library'!A48</f>
        <v/>
      </c>
      <c r="C45" s="232" t="inlineStr">
        <is>
          <t>Severe</t>
        </is>
      </c>
      <c r="D45" s="221">
        <f>'Hist_Financials'!D6*(1+'Scenario_Library'!E48)</f>
        <v/>
      </c>
      <c r="E45" s="219">
        <f>('Hist_Financials'!D6*(1+'Scenario_Library'!E48))-'Hist_Financials'!D6</f>
        <v/>
      </c>
      <c r="F45" s="220">
        <f>IFERROR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/('Hist_Financials'!D6*(1+'Scenario_Library'!E48)),0)</f>
        <v/>
      </c>
      <c r="G45" s="221">
        <f>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</f>
        <v/>
      </c>
      <c r="H45" s="219">
        <f>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11</f>
        <v/>
      </c>
      <c r="I45" s="221">
        <f>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-(MAX(0,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)*'Scenario_Library'!V48)</f>
        <v/>
      </c>
      <c r="J45" s="221">
        <f>((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-(MAX(0,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)*'Scenario_Library'!V48))+'Hist_Financials'!D12+('Hist_Financials'!D24*'Scenario_Library'!S48)+('Hist_Financials'!D25*'Scenario_Library'!T48)-( (('Hist_Financials'!D6*(1+'Scenario_Library'!E48))*(MAX(0,IFERROR('Hist_Financials'!D21/'Hist_Financials'!D6*365,0)+'Scenario_Library'!I48))/365)-'Hist_Financials'!D21 )-( (IFERROR(('Hist_Financials'!D6*(1+'Scenario_Library'!E48))*(1-(MAX(-0.5,MIN(0.9,IFERROR('Hist_Financials'!D8/'Hist_Financials'!D6,0)+'Scenario_Library'!F48/10000))))*(MAX(0,IFERROR('Hist_Financials'!D22/'Hist_Financials'!D7*365,0)+'Scenario_Library'!J48))/365,0))-'Hist_Financials'!D22 )+( (IFERROR(('Hist_Financials'!D6*(1+'Scenario_Library'!E48))*(1-(MAX(-0.5,MIN(0.9,IFERROR('Hist_Financials'!D8/'Hist_Financials'!D6,0)+'Scenario_Library'!F48/10000))))*(MAX(0,IFERROR('Hist_Financials'!D28/'Hist_Financials'!D7*365,0)+'Scenario_Library'!K48))/365,0))-'Hist_Financials'!D28 ))-('Hist_Financials'!D36*(1-'Scenario_Library'!P48))</f>
        <v/>
      </c>
      <c r="K45" s="221">
        <f>MAX(0,'Hist_Financials'!D20+((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-(MAX(0,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)*'Scenario_Library'!V48))+'Hist_Financials'!D12+('Hist_Financials'!D24*'Scenario_Library'!S48)+('Hist_Financials'!D25*'Scenario_Library'!T48)-( (('Hist_Financials'!D6*(1+'Scenario_Library'!E48))*(MAX(0,IFERROR('Hist_Financials'!D21/'Hist_Financials'!D6*365,0)+'Scenario_Library'!I48))/365)-'Hist_Financials'!D21 )-( (IFERROR(('Hist_Financials'!D6*(1+'Scenario_Library'!E48))*(1-(MAX(-0.5,MIN(0.9,IFERROR('Hist_Financials'!D8/'Hist_Financials'!D6,0)+'Scenario_Library'!F48/10000))))*(MAX(0,IFERROR('Hist_Financials'!D22/'Hist_Financials'!D7*365,0)+'Scenario_Library'!J48))/365,0))-'Hist_Financials'!D22 )+( (IFERROR(('Hist_Financials'!D6*(1+'Scenario_Library'!E48))*(1-(MAX(-0.5,MIN(0.9,IFERROR('Hist_Financials'!D8/'Hist_Financials'!D6,0)+'Scenario_Library'!F48/10000))))*(MAX(0,IFERROR('Hist_Financials'!D28/'Hist_Financials'!D7*365,0)+'Scenario_Library'!K48))/365,0))-'Hist_Financials'!D28 ))-('Hist_Financials'!D36*(1-'Scenario_Library'!P48))-('Hist_Financials'!D37*(1-'Scenario_Library'!Q48))-('Hist_Financials'!D38*(1-'Scenario_Library'!R48))-('Hist_Financials'!D27*(1-'Scenario_Library'!M48))-('Hist_Financials'!D30*'Scenario_Library'!N48*(1-'Scenario_Library'!O48)))</f>
        <v/>
      </c>
      <c r="L45" s="222">
        <f>IF('Hist_Financials'!D6=0,"",IFERROR(( (('Hist_Financials'!D27-('Hist_Financials'!D27*(1-'Scenario_Library'!M48)))+('Hist_Financials'!D30-('Hist_Financials'!D30*'Scenario_Library'!N48*(1-'Scenario_Library'!O48))))-(MAX(0,'Hist_Financials'!D20+((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-(MAX(0,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)*'Scenario_Library'!V48))+'Hist_Financials'!D12+('Hist_Financials'!D24*'Scenario_Library'!S48)+('Hist_Financials'!D25*'Scenario_Library'!T48)-( (('Hist_Financials'!D6*(1+'Scenario_Library'!E48))*(MAX(0,IFERROR('Hist_Financials'!D21/'Hist_Financials'!D6*365,0)+'Scenario_Library'!I48))/365)-'Hist_Financials'!D21 )-( (IFERROR(('Hist_Financials'!D6*(1+'Scenario_Library'!E48))*(1-(MAX(-0.5,MIN(0.9,IFERROR('Hist_Financials'!D8/'Hist_Financials'!D6,0)+'Scenario_Library'!F48/10000))))*(MAX(0,IFERROR('Hist_Financials'!D22/'Hist_Financials'!D7*365,0)+'Scenario_Library'!J48))/365,0))-'Hist_Financials'!D22 )+( (IFERROR(('Hist_Financials'!D6*(1+'Scenario_Library'!E48))*(1-(MAX(-0.5,MIN(0.9,IFERROR('Hist_Financials'!D8/'Hist_Financials'!D6,0)+'Scenario_Library'!F48/10000))))*(MAX(0,IFERROR('Hist_Financials'!D28/'Hist_Financials'!D7*365,0)+'Scenario_Library'!K48))/365,0))-'Hist_Financials'!D28 ))-('Hist_Financials'!D36*(1-'Scenario_Library'!P48))-('Hist_Financials'!D37*(1-'Scenario_Library'!Q48))-('Hist_Financials'!D38*(1-'Scenario_Library'!R48))-('Hist_Financials'!D27*(1-'Scenario_Library'!M48))-('Hist_Financials'!D30*'Scenario_Library'!N48*(1-'Scenario_Library'!O48)))) )/MAX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,0.01),99))</f>
        <v/>
      </c>
      <c r="M45" s="222">
        <f>IF('Hist_Financials'!D6=0,"",IFERROR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/MAX(((MAX(0,IFERROR('Hist_Financials'!D14/MAX('Hist_Financials'!D27+'Hist_Financials'!D30,1),0)+'Scenario_Library'!L48/10000))*('Hist_Financials'!D27+'Hist_Financials'!D30)),0.01),999))</f>
        <v/>
      </c>
      <c r="N45" s="218">
        <f>IF('Hist_Financials'!D6=0,"— NO DATA —",IF(OR((IFERROR(( (('Hist_Financials'!D27-('Hist_Financials'!D27*(1-'Scenario_Library'!M48)))+('Hist_Financials'!D30-('Hist_Financials'!D30*'Scenario_Library'!N48*(1-'Scenario_Library'!O48))))-(MAX(0,'Hist_Financials'!D20+((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-(MAX(0,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)*'Scenario_Library'!V48))+'Hist_Financials'!D12+('Hist_Financials'!D24*'Scenario_Library'!S48)+('Hist_Financials'!D25*'Scenario_Library'!T48)-( (('Hist_Financials'!D6*(1+'Scenario_Library'!E48))*(MAX(0,IFERROR('Hist_Financials'!D21/'Hist_Financials'!D6*365,0)+'Scenario_Library'!I48))/365)-'Hist_Financials'!D21 )-( (IFERROR(('Hist_Financials'!D6*(1+'Scenario_Library'!E48))*(1-(MAX(-0.5,MIN(0.9,IFERROR('Hist_Financials'!D8/'Hist_Financials'!D6,0)+'Scenario_Library'!F48/10000))))*(MAX(0,IFERROR('Hist_Financials'!D22/'Hist_Financials'!D7*365,0)+'Scenario_Library'!J48))/365,0))-'Hist_Financials'!D22 )+( (IFERROR(('Hist_Financials'!D6*(1+'Scenario_Library'!E48))*(1-(MAX(-0.5,MIN(0.9,IFERROR('Hist_Financials'!D8/'Hist_Financials'!D6,0)+'Scenario_Library'!F48/10000))))*(MAX(0,IFERROR('Hist_Financials'!D28/'Hist_Financials'!D7*365,0)+'Scenario_Library'!K48))/365,0))-'Hist_Financials'!D28 ))-('Hist_Financials'!D36*(1-'Scenario_Library'!P48))-('Hist_Financials'!D37*(1-'Scenario_Library'!Q48))-('Hist_Financials'!D38*(1-'Scenario_Library'!R48))-('Hist_Financials'!D27*(1-'Scenario_Library'!M48))-('Hist_Financials'!D30*'Scenario_Library'!N48*(1-'Scenario_Library'!O48)))) )/MAX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,0.01),99))&gt;'Scenario_Setup'!B13,(IFERROR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/MAX(((MAX(0,IFERROR('Hist_Financials'!D14/MAX('Hist_Financials'!D27+'Hist_Financials'!D30,1),0)+'Scenario_Library'!L48/10000))*('Hist_Financials'!D27+'Hist_Financials'!D30)),0.01),999))&lt;'Scenario_Setup'!B12,('Hist_Financials'!D32+(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-(MAX(0,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)*'Scenario_Library'!V48))-('Hist_Financials'!D37*(1-'Scenario_Library'!Q48))-('Hist_Financials'!D38*(1-'Scenario_Library'!R48)))&lt;0,(((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-(MAX(0,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)*'Scenario_Library'!V48))+'Hist_Financials'!D12+('Hist_Financials'!D24*'Scenario_Library'!S48)+('Hist_Financials'!D25*'Scenario_Library'!T48)-( (('Hist_Financials'!D6*(1+'Scenario_Library'!E48))*(MAX(0,IFERROR('Hist_Financials'!D21/'Hist_Financials'!D6*365,0)+'Scenario_Library'!I48))/365)-'Hist_Financials'!D21 )-( (IFERROR(('Hist_Financials'!D6*(1+'Scenario_Library'!E48))*(1-(MAX(-0.5,MIN(0.9,IFERROR('Hist_Financials'!D8/'Hist_Financials'!D6,0)+'Scenario_Library'!F48/10000))))*(MAX(0,IFERROR('Hist_Financials'!D22/'Hist_Financials'!D7*365,0)+'Scenario_Library'!J48))/365,0))-'Hist_Financials'!D22 )+( (IFERROR(('Hist_Financials'!D6*(1+'Scenario_Library'!E48))*(1-(MAX(-0.5,MIN(0.9,IFERROR('Hist_Financials'!D8/'Hist_Financials'!D6,0)+'Scenario_Library'!F48/10000))))*(MAX(0,IFERROR('Hist_Financials'!D28/'Hist_Financials'!D7*365,0)+'Scenario_Library'!K48))/365,0))-'Hist_Financials'!D28 ))-('Hist_Financials'!D36*(1-'Scenario_Library'!P48)))&lt;-0.2*'Hist_Financials'!D6),"CRITICAL",IF(AND((((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-(MAX(0,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)*'Scenario_Library'!V48))+'Hist_Financials'!D12+('Hist_Financials'!D24*'Scenario_Library'!S48)+('Hist_Financials'!D25*'Scenario_Library'!T48)-( (('Hist_Financials'!D6*(1+'Scenario_Library'!E48))*(MAX(0,IFERROR('Hist_Financials'!D21/'Hist_Financials'!D6*365,0)+'Scenario_Library'!I48))/365)-'Hist_Financials'!D21 )-( (IFERROR(('Hist_Financials'!D6*(1+'Scenario_Library'!E48))*(1-(MAX(-0.5,MIN(0.9,IFERROR('Hist_Financials'!D8/'Hist_Financials'!D6,0)+'Scenario_Library'!F48/10000))))*(MAX(0,IFERROR('Hist_Financials'!D22/'Hist_Financials'!D7*365,0)+'Scenario_Library'!J48))/365,0))-'Hist_Financials'!D22 )+( (IFERROR(('Hist_Financials'!D6*(1+'Scenario_Library'!E48))*(1-(MAX(-0.5,MIN(0.9,IFERROR('Hist_Financials'!D8/'Hist_Financials'!D6,0)+'Scenario_Library'!F48/10000))))*(MAX(0,IFERROR('Hist_Financials'!D28/'Hist_Financials'!D7*365,0)+'Scenario_Library'!K48))/365,0))-'Hist_Financials'!D28 ))-('Hist_Financials'!D36*(1-'Scenario_Library'!P48)))&gt;=0,(IFERROR(( (('Hist_Financials'!D27-('Hist_Financials'!D27*(1-'Scenario_Library'!M48)))+('Hist_Financials'!D30-('Hist_Financials'!D30*'Scenario_Library'!N48*(1-'Scenario_Library'!O48))))-(MAX(0,'Hist_Financials'!D20+((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-(MAX(0,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)*'Scenario_Library'!V48))+'Hist_Financials'!D12+('Hist_Financials'!D24*'Scenario_Library'!S48)+('Hist_Financials'!D25*'Scenario_Library'!T48)-( (('Hist_Financials'!D6*(1+'Scenario_Library'!E48))*(MAX(0,IFERROR('Hist_Financials'!D21/'Hist_Financials'!D6*365,0)+'Scenario_Library'!I48))/365)-'Hist_Financials'!D21 )-( (IFERROR(('Hist_Financials'!D6*(1+'Scenario_Library'!E48))*(1-(MAX(-0.5,MIN(0.9,IFERROR('Hist_Financials'!D8/'Hist_Financials'!D6,0)+'Scenario_Library'!F48/10000))))*(MAX(0,IFERROR('Hist_Financials'!D22/'Hist_Financials'!D7*365,0)+'Scenario_Library'!J48))/365,0))-'Hist_Financials'!D22 )+( (IFERROR(('Hist_Financials'!D6*(1+'Scenario_Library'!E48))*(1-(MAX(-0.5,MIN(0.9,IFERROR('Hist_Financials'!D8/'Hist_Financials'!D6,0)+'Scenario_Library'!F48/10000))))*(MAX(0,IFERROR('Hist_Financials'!D28/'Hist_Financials'!D7*365,0)+'Scenario_Library'!K48))/365,0))-'Hist_Financials'!D28 ))-('Hist_Financials'!D36*(1-'Scenario_Library'!P48))-('Hist_Financials'!D37*(1-'Scenario_Library'!Q48))-('Hist_Financials'!D38*(1-'Scenario_Library'!R48))-('Hist_Financials'!D27*(1-'Scenario_Library'!M48))-('Hist_Financials'!D30*'Scenario_Library'!N48*(1-'Scenario_Library'!O48)))) )/MAX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,0.01),99))&lt;3,(IFERROR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/MAX(((MAX(0,IFERROR('Hist_Financials'!D14/MAX('Hist_Financials'!D27+'Hist_Financials'!D30,1),0)+'Scenario_Library'!L48/10000))*('Hist_Financials'!D27+'Hist_Financials'!D30)),0.01),999))&gt;='Scenario_Setup'!B12,('Hist_Financials'!D32+(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-(MAX(0,((((('Hist_Financials'!D6*(1+'Scenario_Library'!E48))*(MAX(-0.5,MIN(0.9,IFERROR('Hist_Financials'!D8/'Hist_Financials'!D6,0)+'Scenario_Library'!F48/10000))))-(MAX(0,'Hist_Financials'!D9*(1+'Scenario_Setup'!B9*('Scenario_Library'!E48)+('Scenario_Library'!G48))))-(MAX(0,'Hist_Financials'!D10*(1+'Scenario_Library'!H48))))-'Hist_Financials'!D12)-((MAX(0,IFERROR('Hist_Financials'!D14/MAX('Hist_Financials'!D27+'Hist_Financials'!D30,1),0)+'Scenario_Library'!L48/10000))*('Hist_Financials'!D27+'Hist_Financials'!D30))-('Hist_Financials'!D24*'Scenario_Library'!S48)-('Hist_Financials'!D25*'Scenario_Library'!T48)-('Hist_Financials'!D6*'Scenario_Library'!U48)))*'Scenario_Library'!V48))-('Hist_Financials'!D37*(1-'Scenario_Library'!Q48))-('Hist_Financials'!D38*(1-'Scenario_Library'!R48)))&gt;0),"RESILIENT","WATCH")))</f>
        <v/>
      </c>
    </row>
    <row r="46" ht="17" customHeight="1" s="28">
      <c r="B46" s="223">
        <f>'Scenario_Library'!A49</f>
        <v/>
      </c>
      <c r="C46" s="224" t="inlineStr">
        <is>
          <t>Light</t>
        </is>
      </c>
      <c r="D46" s="225">
        <f>'Hist_Financials'!D6*(1+'Scenario_Library'!E49)</f>
        <v/>
      </c>
      <c r="E46" s="226">
        <f>('Hist_Financials'!D6*(1+'Scenario_Library'!E49))-'Hist_Financials'!D6</f>
        <v/>
      </c>
      <c r="F46" s="227">
        <f>IFERROR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/('Hist_Financials'!D6*(1+'Scenario_Library'!E49)),0)</f>
        <v/>
      </c>
      <c r="G46" s="225">
        <f>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</f>
        <v/>
      </c>
      <c r="H46" s="226">
        <f>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11</f>
        <v/>
      </c>
      <c r="I46" s="225">
        <f>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-(MAX(0,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)*'Scenario_Library'!V49)</f>
        <v/>
      </c>
      <c r="J46" s="225">
        <f>((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-(MAX(0,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)*'Scenario_Library'!V49))+'Hist_Financials'!D12+('Hist_Financials'!D24*'Scenario_Library'!S49)+('Hist_Financials'!D25*'Scenario_Library'!T49)-( (('Hist_Financials'!D6*(1+'Scenario_Library'!E49))*(MAX(0,IFERROR('Hist_Financials'!D21/'Hist_Financials'!D6*365,0)+'Scenario_Library'!I49))/365)-'Hist_Financials'!D21 )-( (IFERROR(('Hist_Financials'!D6*(1+'Scenario_Library'!E49))*(1-(MAX(-0.5,MIN(0.9,IFERROR('Hist_Financials'!D8/'Hist_Financials'!D6,0)+'Scenario_Library'!F49/10000))))*(MAX(0,IFERROR('Hist_Financials'!D22/'Hist_Financials'!D7*365,0)+'Scenario_Library'!J49))/365,0))-'Hist_Financials'!D22 )+( (IFERROR(('Hist_Financials'!D6*(1+'Scenario_Library'!E49))*(1-(MAX(-0.5,MIN(0.9,IFERROR('Hist_Financials'!D8/'Hist_Financials'!D6,0)+'Scenario_Library'!F49/10000))))*(MAX(0,IFERROR('Hist_Financials'!D28/'Hist_Financials'!D7*365,0)+'Scenario_Library'!K49))/365,0))-'Hist_Financials'!D28 ))-('Hist_Financials'!D36*(1-'Scenario_Library'!P49))</f>
        <v/>
      </c>
      <c r="K46" s="225">
        <f>MAX(0,'Hist_Financials'!D20+((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-(MAX(0,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)*'Scenario_Library'!V49))+'Hist_Financials'!D12+('Hist_Financials'!D24*'Scenario_Library'!S49)+('Hist_Financials'!D25*'Scenario_Library'!T49)-( (('Hist_Financials'!D6*(1+'Scenario_Library'!E49))*(MAX(0,IFERROR('Hist_Financials'!D21/'Hist_Financials'!D6*365,0)+'Scenario_Library'!I49))/365)-'Hist_Financials'!D21 )-( (IFERROR(('Hist_Financials'!D6*(1+'Scenario_Library'!E49))*(1-(MAX(-0.5,MIN(0.9,IFERROR('Hist_Financials'!D8/'Hist_Financials'!D6,0)+'Scenario_Library'!F49/10000))))*(MAX(0,IFERROR('Hist_Financials'!D22/'Hist_Financials'!D7*365,0)+'Scenario_Library'!J49))/365,0))-'Hist_Financials'!D22 )+( (IFERROR(('Hist_Financials'!D6*(1+'Scenario_Library'!E49))*(1-(MAX(-0.5,MIN(0.9,IFERROR('Hist_Financials'!D8/'Hist_Financials'!D6,0)+'Scenario_Library'!F49/10000))))*(MAX(0,IFERROR('Hist_Financials'!D28/'Hist_Financials'!D7*365,0)+'Scenario_Library'!K49))/365,0))-'Hist_Financials'!D28 ))-('Hist_Financials'!D36*(1-'Scenario_Library'!P49))-('Hist_Financials'!D37*(1-'Scenario_Library'!Q49))-('Hist_Financials'!D38*(1-'Scenario_Library'!R49))-('Hist_Financials'!D27*(1-'Scenario_Library'!M49))-('Hist_Financials'!D30*'Scenario_Library'!N49*(1-'Scenario_Library'!O49)))</f>
        <v/>
      </c>
      <c r="L46" s="228">
        <f>IF('Hist_Financials'!D6=0,"",IFERROR(( (('Hist_Financials'!D27-('Hist_Financials'!D27*(1-'Scenario_Library'!M49)))+('Hist_Financials'!D30-('Hist_Financials'!D30*'Scenario_Library'!N49*(1-'Scenario_Library'!O49))))-(MAX(0,'Hist_Financials'!D20+((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-(MAX(0,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)*'Scenario_Library'!V49))+'Hist_Financials'!D12+('Hist_Financials'!D24*'Scenario_Library'!S49)+('Hist_Financials'!D25*'Scenario_Library'!T49)-( (('Hist_Financials'!D6*(1+'Scenario_Library'!E49))*(MAX(0,IFERROR('Hist_Financials'!D21/'Hist_Financials'!D6*365,0)+'Scenario_Library'!I49))/365)-'Hist_Financials'!D21 )-( (IFERROR(('Hist_Financials'!D6*(1+'Scenario_Library'!E49))*(1-(MAX(-0.5,MIN(0.9,IFERROR('Hist_Financials'!D8/'Hist_Financials'!D6,0)+'Scenario_Library'!F49/10000))))*(MAX(0,IFERROR('Hist_Financials'!D22/'Hist_Financials'!D7*365,0)+'Scenario_Library'!J49))/365,0))-'Hist_Financials'!D22 )+( (IFERROR(('Hist_Financials'!D6*(1+'Scenario_Library'!E49))*(1-(MAX(-0.5,MIN(0.9,IFERROR('Hist_Financials'!D8/'Hist_Financials'!D6,0)+'Scenario_Library'!F49/10000))))*(MAX(0,IFERROR('Hist_Financials'!D28/'Hist_Financials'!D7*365,0)+'Scenario_Library'!K49))/365,0))-'Hist_Financials'!D28 ))-('Hist_Financials'!D36*(1-'Scenario_Library'!P49))-('Hist_Financials'!D37*(1-'Scenario_Library'!Q49))-('Hist_Financials'!D38*(1-'Scenario_Library'!R49))-('Hist_Financials'!D27*(1-'Scenario_Library'!M49))-('Hist_Financials'!D30*'Scenario_Library'!N49*(1-'Scenario_Library'!O49)))) )/MAX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,0.01),99))</f>
        <v/>
      </c>
      <c r="M46" s="228">
        <f>IF('Hist_Financials'!D6=0,"",IFERROR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/MAX(((MAX(0,IFERROR('Hist_Financials'!D14/MAX('Hist_Financials'!D27+'Hist_Financials'!D30,1),0)+'Scenario_Library'!L49/10000))*('Hist_Financials'!D27+'Hist_Financials'!D30)),0.01),999))</f>
        <v/>
      </c>
      <c r="N46" s="229">
        <f>IF('Hist_Financials'!D6=0,"— NO DATA —",IF(OR((IFERROR(( (('Hist_Financials'!D27-('Hist_Financials'!D27*(1-'Scenario_Library'!M49)))+('Hist_Financials'!D30-('Hist_Financials'!D30*'Scenario_Library'!N49*(1-'Scenario_Library'!O49))))-(MAX(0,'Hist_Financials'!D20+((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-(MAX(0,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)*'Scenario_Library'!V49))+'Hist_Financials'!D12+('Hist_Financials'!D24*'Scenario_Library'!S49)+('Hist_Financials'!D25*'Scenario_Library'!T49)-( (('Hist_Financials'!D6*(1+'Scenario_Library'!E49))*(MAX(0,IFERROR('Hist_Financials'!D21/'Hist_Financials'!D6*365,0)+'Scenario_Library'!I49))/365)-'Hist_Financials'!D21 )-( (IFERROR(('Hist_Financials'!D6*(1+'Scenario_Library'!E49))*(1-(MAX(-0.5,MIN(0.9,IFERROR('Hist_Financials'!D8/'Hist_Financials'!D6,0)+'Scenario_Library'!F49/10000))))*(MAX(0,IFERROR('Hist_Financials'!D22/'Hist_Financials'!D7*365,0)+'Scenario_Library'!J49))/365,0))-'Hist_Financials'!D22 )+( (IFERROR(('Hist_Financials'!D6*(1+'Scenario_Library'!E49))*(1-(MAX(-0.5,MIN(0.9,IFERROR('Hist_Financials'!D8/'Hist_Financials'!D6,0)+'Scenario_Library'!F49/10000))))*(MAX(0,IFERROR('Hist_Financials'!D28/'Hist_Financials'!D7*365,0)+'Scenario_Library'!K49))/365,0))-'Hist_Financials'!D28 ))-('Hist_Financials'!D36*(1-'Scenario_Library'!P49))-('Hist_Financials'!D37*(1-'Scenario_Library'!Q49))-('Hist_Financials'!D38*(1-'Scenario_Library'!R49))-('Hist_Financials'!D27*(1-'Scenario_Library'!M49))-('Hist_Financials'!D30*'Scenario_Library'!N49*(1-'Scenario_Library'!O49)))) )/MAX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,0.01),99))&gt;'Scenario_Setup'!B13,(IFERROR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/MAX(((MAX(0,IFERROR('Hist_Financials'!D14/MAX('Hist_Financials'!D27+'Hist_Financials'!D30,1),0)+'Scenario_Library'!L49/10000))*('Hist_Financials'!D27+'Hist_Financials'!D30)),0.01),999))&lt;'Scenario_Setup'!B12,('Hist_Financials'!D32+(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-(MAX(0,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)*'Scenario_Library'!V49))-('Hist_Financials'!D37*(1-'Scenario_Library'!Q49))-('Hist_Financials'!D38*(1-'Scenario_Library'!R49)))&lt;0,(((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-(MAX(0,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)*'Scenario_Library'!V49))+'Hist_Financials'!D12+('Hist_Financials'!D24*'Scenario_Library'!S49)+('Hist_Financials'!D25*'Scenario_Library'!T49)-( (('Hist_Financials'!D6*(1+'Scenario_Library'!E49))*(MAX(0,IFERROR('Hist_Financials'!D21/'Hist_Financials'!D6*365,0)+'Scenario_Library'!I49))/365)-'Hist_Financials'!D21 )-( (IFERROR(('Hist_Financials'!D6*(1+'Scenario_Library'!E49))*(1-(MAX(-0.5,MIN(0.9,IFERROR('Hist_Financials'!D8/'Hist_Financials'!D6,0)+'Scenario_Library'!F49/10000))))*(MAX(0,IFERROR('Hist_Financials'!D22/'Hist_Financials'!D7*365,0)+'Scenario_Library'!J49))/365,0))-'Hist_Financials'!D22 )+( (IFERROR(('Hist_Financials'!D6*(1+'Scenario_Library'!E49))*(1-(MAX(-0.5,MIN(0.9,IFERROR('Hist_Financials'!D8/'Hist_Financials'!D6,0)+'Scenario_Library'!F49/10000))))*(MAX(0,IFERROR('Hist_Financials'!D28/'Hist_Financials'!D7*365,0)+'Scenario_Library'!K49))/365,0))-'Hist_Financials'!D28 ))-('Hist_Financials'!D36*(1-'Scenario_Library'!P49)))&lt;-0.2*'Hist_Financials'!D6),"CRITICAL",IF(AND((((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-(MAX(0,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)*'Scenario_Library'!V49))+'Hist_Financials'!D12+('Hist_Financials'!D24*'Scenario_Library'!S49)+('Hist_Financials'!D25*'Scenario_Library'!T49)-( (('Hist_Financials'!D6*(1+'Scenario_Library'!E49))*(MAX(0,IFERROR('Hist_Financials'!D21/'Hist_Financials'!D6*365,0)+'Scenario_Library'!I49))/365)-'Hist_Financials'!D21 )-( (IFERROR(('Hist_Financials'!D6*(1+'Scenario_Library'!E49))*(1-(MAX(-0.5,MIN(0.9,IFERROR('Hist_Financials'!D8/'Hist_Financials'!D6,0)+'Scenario_Library'!F49/10000))))*(MAX(0,IFERROR('Hist_Financials'!D22/'Hist_Financials'!D7*365,0)+'Scenario_Library'!J49))/365,0))-'Hist_Financials'!D22 )+( (IFERROR(('Hist_Financials'!D6*(1+'Scenario_Library'!E49))*(1-(MAX(-0.5,MIN(0.9,IFERROR('Hist_Financials'!D8/'Hist_Financials'!D6,0)+'Scenario_Library'!F49/10000))))*(MAX(0,IFERROR('Hist_Financials'!D28/'Hist_Financials'!D7*365,0)+'Scenario_Library'!K49))/365,0))-'Hist_Financials'!D28 ))-('Hist_Financials'!D36*(1-'Scenario_Library'!P49)))&gt;=0,(IFERROR(( (('Hist_Financials'!D27-('Hist_Financials'!D27*(1-'Scenario_Library'!M49)))+('Hist_Financials'!D30-('Hist_Financials'!D30*'Scenario_Library'!N49*(1-'Scenario_Library'!O49))))-(MAX(0,'Hist_Financials'!D20+((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-(MAX(0,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)*'Scenario_Library'!V49))+'Hist_Financials'!D12+('Hist_Financials'!D24*'Scenario_Library'!S49)+('Hist_Financials'!D25*'Scenario_Library'!T49)-( (('Hist_Financials'!D6*(1+'Scenario_Library'!E49))*(MAX(0,IFERROR('Hist_Financials'!D21/'Hist_Financials'!D6*365,0)+'Scenario_Library'!I49))/365)-'Hist_Financials'!D21 )-( (IFERROR(('Hist_Financials'!D6*(1+'Scenario_Library'!E49))*(1-(MAX(-0.5,MIN(0.9,IFERROR('Hist_Financials'!D8/'Hist_Financials'!D6,0)+'Scenario_Library'!F49/10000))))*(MAX(0,IFERROR('Hist_Financials'!D22/'Hist_Financials'!D7*365,0)+'Scenario_Library'!J49))/365,0))-'Hist_Financials'!D22 )+( (IFERROR(('Hist_Financials'!D6*(1+'Scenario_Library'!E49))*(1-(MAX(-0.5,MIN(0.9,IFERROR('Hist_Financials'!D8/'Hist_Financials'!D6,0)+'Scenario_Library'!F49/10000))))*(MAX(0,IFERROR('Hist_Financials'!D28/'Hist_Financials'!D7*365,0)+'Scenario_Library'!K49))/365,0))-'Hist_Financials'!D28 ))-('Hist_Financials'!D36*(1-'Scenario_Library'!P49))-('Hist_Financials'!D37*(1-'Scenario_Library'!Q49))-('Hist_Financials'!D38*(1-'Scenario_Library'!R49))-('Hist_Financials'!D27*(1-'Scenario_Library'!M49))-('Hist_Financials'!D30*'Scenario_Library'!N49*(1-'Scenario_Library'!O49)))) )/MAX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,0.01),99))&lt;3,(IFERROR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/MAX(((MAX(0,IFERROR('Hist_Financials'!D14/MAX('Hist_Financials'!D27+'Hist_Financials'!D30,1),0)+'Scenario_Library'!L49/10000))*('Hist_Financials'!D27+'Hist_Financials'!D30)),0.01),999))&gt;='Scenario_Setup'!B12,('Hist_Financials'!D32+(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-(MAX(0,((((('Hist_Financials'!D6*(1+'Scenario_Library'!E49))*(MAX(-0.5,MIN(0.9,IFERROR('Hist_Financials'!D8/'Hist_Financials'!D6,0)+'Scenario_Library'!F49/10000))))-(MAX(0,'Hist_Financials'!D9*(1+'Scenario_Setup'!B9*('Scenario_Library'!E49)+('Scenario_Library'!G49))))-(MAX(0,'Hist_Financials'!D10*(1+'Scenario_Library'!H49))))-'Hist_Financials'!D12)-((MAX(0,IFERROR('Hist_Financials'!D14/MAX('Hist_Financials'!D27+'Hist_Financials'!D30,1),0)+'Scenario_Library'!L49/10000))*('Hist_Financials'!D27+'Hist_Financials'!D30))-('Hist_Financials'!D24*'Scenario_Library'!S49)-('Hist_Financials'!D25*'Scenario_Library'!T49)-('Hist_Financials'!D6*'Scenario_Library'!U49)))*'Scenario_Library'!V49))-('Hist_Financials'!D37*(1-'Scenario_Library'!Q49))-('Hist_Financials'!D38*(1-'Scenario_Library'!R49)))&gt;0),"RESILIENT","WATCH")))</f>
        <v/>
      </c>
    </row>
    <row r="47" ht="17" customHeight="1" s="28">
      <c r="B47" s="230">
        <f>'Scenario_Library'!A50</f>
        <v/>
      </c>
      <c r="C47" s="231" t="inlineStr">
        <is>
          <t>Base</t>
        </is>
      </c>
      <c r="D47" s="215">
        <f>'Hist_Financials'!D6*(1+'Scenario_Library'!E50)</f>
        <v/>
      </c>
      <c r="E47" s="213">
        <f>('Hist_Financials'!D6*(1+'Scenario_Library'!E50))-'Hist_Financials'!D6</f>
        <v/>
      </c>
      <c r="F47" s="214">
        <f>IFERROR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/('Hist_Financials'!D6*(1+'Scenario_Library'!E50)),0)</f>
        <v/>
      </c>
      <c r="G47" s="215">
        <f>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</f>
        <v/>
      </c>
      <c r="H47" s="213">
        <f>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11</f>
        <v/>
      </c>
      <c r="I47" s="215">
        <f>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-(MAX(0,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)*'Scenario_Library'!V50)</f>
        <v/>
      </c>
      <c r="J47" s="215">
        <f>((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-(MAX(0,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)*'Scenario_Library'!V50))+'Hist_Financials'!D12+('Hist_Financials'!D24*'Scenario_Library'!S50)+('Hist_Financials'!D25*'Scenario_Library'!T50)-( (('Hist_Financials'!D6*(1+'Scenario_Library'!E50))*(MAX(0,IFERROR('Hist_Financials'!D21/'Hist_Financials'!D6*365,0)+'Scenario_Library'!I50))/365)-'Hist_Financials'!D21 )-( (IFERROR(('Hist_Financials'!D6*(1+'Scenario_Library'!E50))*(1-(MAX(-0.5,MIN(0.9,IFERROR('Hist_Financials'!D8/'Hist_Financials'!D6,0)+'Scenario_Library'!F50/10000))))*(MAX(0,IFERROR('Hist_Financials'!D22/'Hist_Financials'!D7*365,0)+'Scenario_Library'!J50))/365,0))-'Hist_Financials'!D22 )+( (IFERROR(('Hist_Financials'!D6*(1+'Scenario_Library'!E50))*(1-(MAX(-0.5,MIN(0.9,IFERROR('Hist_Financials'!D8/'Hist_Financials'!D6,0)+'Scenario_Library'!F50/10000))))*(MAX(0,IFERROR('Hist_Financials'!D28/'Hist_Financials'!D7*365,0)+'Scenario_Library'!K50))/365,0))-'Hist_Financials'!D28 ))-('Hist_Financials'!D36*(1-'Scenario_Library'!P50))</f>
        <v/>
      </c>
      <c r="K47" s="215">
        <f>MAX(0,'Hist_Financials'!D20+((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-(MAX(0,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)*'Scenario_Library'!V50))+'Hist_Financials'!D12+('Hist_Financials'!D24*'Scenario_Library'!S50)+('Hist_Financials'!D25*'Scenario_Library'!T50)-( (('Hist_Financials'!D6*(1+'Scenario_Library'!E50))*(MAX(0,IFERROR('Hist_Financials'!D21/'Hist_Financials'!D6*365,0)+'Scenario_Library'!I50))/365)-'Hist_Financials'!D21 )-( (IFERROR(('Hist_Financials'!D6*(1+'Scenario_Library'!E50))*(1-(MAX(-0.5,MIN(0.9,IFERROR('Hist_Financials'!D8/'Hist_Financials'!D6,0)+'Scenario_Library'!F50/10000))))*(MAX(0,IFERROR('Hist_Financials'!D22/'Hist_Financials'!D7*365,0)+'Scenario_Library'!J50))/365,0))-'Hist_Financials'!D22 )+( (IFERROR(('Hist_Financials'!D6*(1+'Scenario_Library'!E50))*(1-(MAX(-0.5,MIN(0.9,IFERROR('Hist_Financials'!D8/'Hist_Financials'!D6,0)+'Scenario_Library'!F50/10000))))*(MAX(0,IFERROR('Hist_Financials'!D28/'Hist_Financials'!D7*365,0)+'Scenario_Library'!K50))/365,0))-'Hist_Financials'!D28 ))-('Hist_Financials'!D36*(1-'Scenario_Library'!P50))-('Hist_Financials'!D37*(1-'Scenario_Library'!Q50))-('Hist_Financials'!D38*(1-'Scenario_Library'!R50))-('Hist_Financials'!D27*(1-'Scenario_Library'!M50))-('Hist_Financials'!D30*'Scenario_Library'!N50*(1-'Scenario_Library'!O50)))</f>
        <v/>
      </c>
      <c r="L47" s="216">
        <f>IF('Hist_Financials'!D6=0,"",IFERROR(( (('Hist_Financials'!D27-('Hist_Financials'!D27*(1-'Scenario_Library'!M50)))+('Hist_Financials'!D30-('Hist_Financials'!D30*'Scenario_Library'!N50*(1-'Scenario_Library'!O50))))-(MAX(0,'Hist_Financials'!D20+((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-(MAX(0,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)*'Scenario_Library'!V50))+'Hist_Financials'!D12+('Hist_Financials'!D24*'Scenario_Library'!S50)+('Hist_Financials'!D25*'Scenario_Library'!T50)-( (('Hist_Financials'!D6*(1+'Scenario_Library'!E50))*(MAX(0,IFERROR('Hist_Financials'!D21/'Hist_Financials'!D6*365,0)+'Scenario_Library'!I50))/365)-'Hist_Financials'!D21 )-( (IFERROR(('Hist_Financials'!D6*(1+'Scenario_Library'!E50))*(1-(MAX(-0.5,MIN(0.9,IFERROR('Hist_Financials'!D8/'Hist_Financials'!D6,0)+'Scenario_Library'!F50/10000))))*(MAX(0,IFERROR('Hist_Financials'!D22/'Hist_Financials'!D7*365,0)+'Scenario_Library'!J50))/365,0))-'Hist_Financials'!D22 )+( (IFERROR(('Hist_Financials'!D6*(1+'Scenario_Library'!E50))*(1-(MAX(-0.5,MIN(0.9,IFERROR('Hist_Financials'!D8/'Hist_Financials'!D6,0)+'Scenario_Library'!F50/10000))))*(MAX(0,IFERROR('Hist_Financials'!D28/'Hist_Financials'!D7*365,0)+'Scenario_Library'!K50))/365,0))-'Hist_Financials'!D28 ))-('Hist_Financials'!D36*(1-'Scenario_Library'!P50))-('Hist_Financials'!D37*(1-'Scenario_Library'!Q50))-('Hist_Financials'!D38*(1-'Scenario_Library'!R50))-('Hist_Financials'!D27*(1-'Scenario_Library'!M50))-('Hist_Financials'!D30*'Scenario_Library'!N50*(1-'Scenario_Library'!O50)))) )/MAX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,0.01),99))</f>
        <v/>
      </c>
      <c r="M47" s="216">
        <f>IF('Hist_Financials'!D6=0,"",IFERROR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/MAX(((MAX(0,IFERROR('Hist_Financials'!D14/MAX('Hist_Financials'!D27+'Hist_Financials'!D30,1),0)+'Scenario_Library'!L50/10000))*('Hist_Financials'!D27+'Hist_Financials'!D30)),0.01),999))</f>
        <v/>
      </c>
      <c r="N47" s="212">
        <f>IF('Hist_Financials'!D6=0,"— NO DATA —",IF(OR((IFERROR(( (('Hist_Financials'!D27-('Hist_Financials'!D27*(1-'Scenario_Library'!M50)))+('Hist_Financials'!D30-('Hist_Financials'!D30*'Scenario_Library'!N50*(1-'Scenario_Library'!O50))))-(MAX(0,'Hist_Financials'!D20+((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-(MAX(0,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)*'Scenario_Library'!V50))+'Hist_Financials'!D12+('Hist_Financials'!D24*'Scenario_Library'!S50)+('Hist_Financials'!D25*'Scenario_Library'!T50)-( (('Hist_Financials'!D6*(1+'Scenario_Library'!E50))*(MAX(0,IFERROR('Hist_Financials'!D21/'Hist_Financials'!D6*365,0)+'Scenario_Library'!I50))/365)-'Hist_Financials'!D21 )-( (IFERROR(('Hist_Financials'!D6*(1+'Scenario_Library'!E50))*(1-(MAX(-0.5,MIN(0.9,IFERROR('Hist_Financials'!D8/'Hist_Financials'!D6,0)+'Scenario_Library'!F50/10000))))*(MAX(0,IFERROR('Hist_Financials'!D22/'Hist_Financials'!D7*365,0)+'Scenario_Library'!J50))/365,0))-'Hist_Financials'!D22 )+( (IFERROR(('Hist_Financials'!D6*(1+'Scenario_Library'!E50))*(1-(MAX(-0.5,MIN(0.9,IFERROR('Hist_Financials'!D8/'Hist_Financials'!D6,0)+'Scenario_Library'!F50/10000))))*(MAX(0,IFERROR('Hist_Financials'!D28/'Hist_Financials'!D7*365,0)+'Scenario_Library'!K50))/365,0))-'Hist_Financials'!D28 ))-('Hist_Financials'!D36*(1-'Scenario_Library'!P50))-('Hist_Financials'!D37*(1-'Scenario_Library'!Q50))-('Hist_Financials'!D38*(1-'Scenario_Library'!R50))-('Hist_Financials'!D27*(1-'Scenario_Library'!M50))-('Hist_Financials'!D30*'Scenario_Library'!N50*(1-'Scenario_Library'!O50)))) )/MAX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,0.01),99))&gt;'Scenario_Setup'!B13,(IFERROR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/MAX(((MAX(0,IFERROR('Hist_Financials'!D14/MAX('Hist_Financials'!D27+'Hist_Financials'!D30,1),0)+'Scenario_Library'!L50/10000))*('Hist_Financials'!D27+'Hist_Financials'!D30)),0.01),999))&lt;'Scenario_Setup'!B12,('Hist_Financials'!D32+(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-(MAX(0,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)*'Scenario_Library'!V50))-('Hist_Financials'!D37*(1-'Scenario_Library'!Q50))-('Hist_Financials'!D38*(1-'Scenario_Library'!R50)))&lt;0,(((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-(MAX(0,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)*'Scenario_Library'!V50))+'Hist_Financials'!D12+('Hist_Financials'!D24*'Scenario_Library'!S50)+('Hist_Financials'!D25*'Scenario_Library'!T50)-( (('Hist_Financials'!D6*(1+'Scenario_Library'!E50))*(MAX(0,IFERROR('Hist_Financials'!D21/'Hist_Financials'!D6*365,0)+'Scenario_Library'!I50))/365)-'Hist_Financials'!D21 )-( (IFERROR(('Hist_Financials'!D6*(1+'Scenario_Library'!E50))*(1-(MAX(-0.5,MIN(0.9,IFERROR('Hist_Financials'!D8/'Hist_Financials'!D6,0)+'Scenario_Library'!F50/10000))))*(MAX(0,IFERROR('Hist_Financials'!D22/'Hist_Financials'!D7*365,0)+'Scenario_Library'!J50))/365,0))-'Hist_Financials'!D22 )+( (IFERROR(('Hist_Financials'!D6*(1+'Scenario_Library'!E50))*(1-(MAX(-0.5,MIN(0.9,IFERROR('Hist_Financials'!D8/'Hist_Financials'!D6,0)+'Scenario_Library'!F50/10000))))*(MAX(0,IFERROR('Hist_Financials'!D28/'Hist_Financials'!D7*365,0)+'Scenario_Library'!K50))/365,0))-'Hist_Financials'!D28 ))-('Hist_Financials'!D36*(1-'Scenario_Library'!P50)))&lt;-0.2*'Hist_Financials'!D6),"CRITICAL",IF(AND((((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-(MAX(0,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)*'Scenario_Library'!V50))+'Hist_Financials'!D12+('Hist_Financials'!D24*'Scenario_Library'!S50)+('Hist_Financials'!D25*'Scenario_Library'!T50)-( (('Hist_Financials'!D6*(1+'Scenario_Library'!E50))*(MAX(0,IFERROR('Hist_Financials'!D21/'Hist_Financials'!D6*365,0)+'Scenario_Library'!I50))/365)-'Hist_Financials'!D21 )-( (IFERROR(('Hist_Financials'!D6*(1+'Scenario_Library'!E50))*(1-(MAX(-0.5,MIN(0.9,IFERROR('Hist_Financials'!D8/'Hist_Financials'!D6,0)+'Scenario_Library'!F50/10000))))*(MAX(0,IFERROR('Hist_Financials'!D22/'Hist_Financials'!D7*365,0)+'Scenario_Library'!J50))/365,0))-'Hist_Financials'!D22 )+( (IFERROR(('Hist_Financials'!D6*(1+'Scenario_Library'!E50))*(1-(MAX(-0.5,MIN(0.9,IFERROR('Hist_Financials'!D8/'Hist_Financials'!D6,0)+'Scenario_Library'!F50/10000))))*(MAX(0,IFERROR('Hist_Financials'!D28/'Hist_Financials'!D7*365,0)+'Scenario_Library'!K50))/365,0))-'Hist_Financials'!D28 ))-('Hist_Financials'!D36*(1-'Scenario_Library'!P50)))&gt;=0,(IFERROR(( (('Hist_Financials'!D27-('Hist_Financials'!D27*(1-'Scenario_Library'!M50)))+('Hist_Financials'!D30-('Hist_Financials'!D30*'Scenario_Library'!N50*(1-'Scenario_Library'!O50))))-(MAX(0,'Hist_Financials'!D20+((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-(MAX(0,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)*'Scenario_Library'!V50))+'Hist_Financials'!D12+('Hist_Financials'!D24*'Scenario_Library'!S50)+('Hist_Financials'!D25*'Scenario_Library'!T50)-( (('Hist_Financials'!D6*(1+'Scenario_Library'!E50))*(MAX(0,IFERROR('Hist_Financials'!D21/'Hist_Financials'!D6*365,0)+'Scenario_Library'!I50))/365)-'Hist_Financials'!D21 )-( (IFERROR(('Hist_Financials'!D6*(1+'Scenario_Library'!E50))*(1-(MAX(-0.5,MIN(0.9,IFERROR('Hist_Financials'!D8/'Hist_Financials'!D6,0)+'Scenario_Library'!F50/10000))))*(MAX(0,IFERROR('Hist_Financials'!D22/'Hist_Financials'!D7*365,0)+'Scenario_Library'!J50))/365,0))-'Hist_Financials'!D22 )+( (IFERROR(('Hist_Financials'!D6*(1+'Scenario_Library'!E50))*(1-(MAX(-0.5,MIN(0.9,IFERROR('Hist_Financials'!D8/'Hist_Financials'!D6,0)+'Scenario_Library'!F50/10000))))*(MAX(0,IFERROR('Hist_Financials'!D28/'Hist_Financials'!D7*365,0)+'Scenario_Library'!K50))/365,0))-'Hist_Financials'!D28 ))-('Hist_Financials'!D36*(1-'Scenario_Library'!P50))-('Hist_Financials'!D37*(1-'Scenario_Library'!Q50))-('Hist_Financials'!D38*(1-'Scenario_Library'!R50))-('Hist_Financials'!D27*(1-'Scenario_Library'!M50))-('Hist_Financials'!D30*'Scenario_Library'!N50*(1-'Scenario_Library'!O50)))) )/MAX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,0.01),99))&lt;3,(IFERROR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/MAX(((MAX(0,IFERROR('Hist_Financials'!D14/MAX('Hist_Financials'!D27+'Hist_Financials'!D30,1),0)+'Scenario_Library'!L50/10000))*('Hist_Financials'!D27+'Hist_Financials'!D30)),0.01),999))&gt;='Scenario_Setup'!B12,('Hist_Financials'!D32+(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-(MAX(0,((((('Hist_Financials'!D6*(1+'Scenario_Library'!E50))*(MAX(-0.5,MIN(0.9,IFERROR('Hist_Financials'!D8/'Hist_Financials'!D6,0)+'Scenario_Library'!F50/10000))))-(MAX(0,'Hist_Financials'!D9*(1+'Scenario_Setup'!B9*('Scenario_Library'!E50)+('Scenario_Library'!G50))))-(MAX(0,'Hist_Financials'!D10*(1+'Scenario_Library'!H50))))-'Hist_Financials'!D12)-((MAX(0,IFERROR('Hist_Financials'!D14/MAX('Hist_Financials'!D27+'Hist_Financials'!D30,1),0)+'Scenario_Library'!L50/10000))*('Hist_Financials'!D27+'Hist_Financials'!D30))-('Hist_Financials'!D24*'Scenario_Library'!S50)-('Hist_Financials'!D25*'Scenario_Library'!T50)-('Hist_Financials'!D6*'Scenario_Library'!U50)))*'Scenario_Library'!V50))-('Hist_Financials'!D37*(1-'Scenario_Library'!Q50))-('Hist_Financials'!D38*(1-'Scenario_Library'!R50)))&gt;0),"RESILIENT","WATCH")))</f>
        <v/>
      </c>
    </row>
    <row r="48" ht="17" customHeight="1" s="28">
      <c r="B48" s="230">
        <f>'Scenario_Library'!A51</f>
        <v/>
      </c>
      <c r="C48" s="232" t="inlineStr">
        <is>
          <t>Severe</t>
        </is>
      </c>
      <c r="D48" s="221">
        <f>'Hist_Financials'!D6*(1+'Scenario_Library'!E51)</f>
        <v/>
      </c>
      <c r="E48" s="219">
        <f>('Hist_Financials'!D6*(1+'Scenario_Library'!E51))-'Hist_Financials'!D6</f>
        <v/>
      </c>
      <c r="F48" s="220">
        <f>IFERROR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/('Hist_Financials'!D6*(1+'Scenario_Library'!E51)),0)</f>
        <v/>
      </c>
      <c r="G48" s="221">
        <f>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</f>
        <v/>
      </c>
      <c r="H48" s="219">
        <f>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11</f>
        <v/>
      </c>
      <c r="I48" s="221">
        <f>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-(MAX(0,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)*'Scenario_Library'!V51)</f>
        <v/>
      </c>
      <c r="J48" s="221">
        <f>((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-(MAX(0,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)*'Scenario_Library'!V51))+'Hist_Financials'!D12+('Hist_Financials'!D24*'Scenario_Library'!S51)+('Hist_Financials'!D25*'Scenario_Library'!T51)-( (('Hist_Financials'!D6*(1+'Scenario_Library'!E51))*(MAX(0,IFERROR('Hist_Financials'!D21/'Hist_Financials'!D6*365,0)+'Scenario_Library'!I51))/365)-'Hist_Financials'!D21 )-( (IFERROR(('Hist_Financials'!D6*(1+'Scenario_Library'!E51))*(1-(MAX(-0.5,MIN(0.9,IFERROR('Hist_Financials'!D8/'Hist_Financials'!D6,0)+'Scenario_Library'!F51/10000))))*(MAX(0,IFERROR('Hist_Financials'!D22/'Hist_Financials'!D7*365,0)+'Scenario_Library'!J51))/365,0))-'Hist_Financials'!D22 )+( (IFERROR(('Hist_Financials'!D6*(1+'Scenario_Library'!E51))*(1-(MAX(-0.5,MIN(0.9,IFERROR('Hist_Financials'!D8/'Hist_Financials'!D6,0)+'Scenario_Library'!F51/10000))))*(MAX(0,IFERROR('Hist_Financials'!D28/'Hist_Financials'!D7*365,0)+'Scenario_Library'!K51))/365,0))-'Hist_Financials'!D28 ))-('Hist_Financials'!D36*(1-'Scenario_Library'!P51))</f>
        <v/>
      </c>
      <c r="K48" s="221">
        <f>MAX(0,'Hist_Financials'!D20+((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-(MAX(0,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)*'Scenario_Library'!V51))+'Hist_Financials'!D12+('Hist_Financials'!D24*'Scenario_Library'!S51)+('Hist_Financials'!D25*'Scenario_Library'!T51)-( (('Hist_Financials'!D6*(1+'Scenario_Library'!E51))*(MAX(0,IFERROR('Hist_Financials'!D21/'Hist_Financials'!D6*365,0)+'Scenario_Library'!I51))/365)-'Hist_Financials'!D21 )-( (IFERROR(('Hist_Financials'!D6*(1+'Scenario_Library'!E51))*(1-(MAX(-0.5,MIN(0.9,IFERROR('Hist_Financials'!D8/'Hist_Financials'!D6,0)+'Scenario_Library'!F51/10000))))*(MAX(0,IFERROR('Hist_Financials'!D22/'Hist_Financials'!D7*365,0)+'Scenario_Library'!J51))/365,0))-'Hist_Financials'!D22 )+( (IFERROR(('Hist_Financials'!D6*(1+'Scenario_Library'!E51))*(1-(MAX(-0.5,MIN(0.9,IFERROR('Hist_Financials'!D8/'Hist_Financials'!D6,0)+'Scenario_Library'!F51/10000))))*(MAX(0,IFERROR('Hist_Financials'!D28/'Hist_Financials'!D7*365,0)+'Scenario_Library'!K51))/365,0))-'Hist_Financials'!D28 ))-('Hist_Financials'!D36*(1-'Scenario_Library'!P51))-('Hist_Financials'!D37*(1-'Scenario_Library'!Q51))-('Hist_Financials'!D38*(1-'Scenario_Library'!R51))-('Hist_Financials'!D27*(1-'Scenario_Library'!M51))-('Hist_Financials'!D30*'Scenario_Library'!N51*(1-'Scenario_Library'!O51)))</f>
        <v/>
      </c>
      <c r="L48" s="222">
        <f>IF('Hist_Financials'!D6=0,"",IFERROR(( (('Hist_Financials'!D27-('Hist_Financials'!D27*(1-'Scenario_Library'!M51)))+('Hist_Financials'!D30-('Hist_Financials'!D30*'Scenario_Library'!N51*(1-'Scenario_Library'!O51))))-(MAX(0,'Hist_Financials'!D20+((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-(MAX(0,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)*'Scenario_Library'!V51))+'Hist_Financials'!D12+('Hist_Financials'!D24*'Scenario_Library'!S51)+('Hist_Financials'!D25*'Scenario_Library'!T51)-( (('Hist_Financials'!D6*(1+'Scenario_Library'!E51))*(MAX(0,IFERROR('Hist_Financials'!D21/'Hist_Financials'!D6*365,0)+'Scenario_Library'!I51))/365)-'Hist_Financials'!D21 )-( (IFERROR(('Hist_Financials'!D6*(1+'Scenario_Library'!E51))*(1-(MAX(-0.5,MIN(0.9,IFERROR('Hist_Financials'!D8/'Hist_Financials'!D6,0)+'Scenario_Library'!F51/10000))))*(MAX(0,IFERROR('Hist_Financials'!D22/'Hist_Financials'!D7*365,0)+'Scenario_Library'!J51))/365,0))-'Hist_Financials'!D22 )+( (IFERROR(('Hist_Financials'!D6*(1+'Scenario_Library'!E51))*(1-(MAX(-0.5,MIN(0.9,IFERROR('Hist_Financials'!D8/'Hist_Financials'!D6,0)+'Scenario_Library'!F51/10000))))*(MAX(0,IFERROR('Hist_Financials'!D28/'Hist_Financials'!D7*365,0)+'Scenario_Library'!K51))/365,0))-'Hist_Financials'!D28 ))-('Hist_Financials'!D36*(1-'Scenario_Library'!P51))-('Hist_Financials'!D37*(1-'Scenario_Library'!Q51))-('Hist_Financials'!D38*(1-'Scenario_Library'!R51))-('Hist_Financials'!D27*(1-'Scenario_Library'!M51))-('Hist_Financials'!D30*'Scenario_Library'!N51*(1-'Scenario_Library'!O51)))) )/MAX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,0.01),99))</f>
        <v/>
      </c>
      <c r="M48" s="222">
        <f>IF('Hist_Financials'!D6=0,"",IFERROR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/MAX(((MAX(0,IFERROR('Hist_Financials'!D14/MAX('Hist_Financials'!D27+'Hist_Financials'!D30,1),0)+'Scenario_Library'!L51/10000))*('Hist_Financials'!D27+'Hist_Financials'!D30)),0.01),999))</f>
        <v/>
      </c>
      <c r="N48" s="218">
        <f>IF('Hist_Financials'!D6=0,"— NO DATA —",IF(OR((IFERROR(( (('Hist_Financials'!D27-('Hist_Financials'!D27*(1-'Scenario_Library'!M51)))+('Hist_Financials'!D30-('Hist_Financials'!D30*'Scenario_Library'!N51*(1-'Scenario_Library'!O51))))-(MAX(0,'Hist_Financials'!D20+((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-(MAX(0,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)*'Scenario_Library'!V51))+'Hist_Financials'!D12+('Hist_Financials'!D24*'Scenario_Library'!S51)+('Hist_Financials'!D25*'Scenario_Library'!T51)-( (('Hist_Financials'!D6*(1+'Scenario_Library'!E51))*(MAX(0,IFERROR('Hist_Financials'!D21/'Hist_Financials'!D6*365,0)+'Scenario_Library'!I51))/365)-'Hist_Financials'!D21 )-( (IFERROR(('Hist_Financials'!D6*(1+'Scenario_Library'!E51))*(1-(MAX(-0.5,MIN(0.9,IFERROR('Hist_Financials'!D8/'Hist_Financials'!D6,0)+'Scenario_Library'!F51/10000))))*(MAX(0,IFERROR('Hist_Financials'!D22/'Hist_Financials'!D7*365,0)+'Scenario_Library'!J51))/365,0))-'Hist_Financials'!D22 )+( (IFERROR(('Hist_Financials'!D6*(1+'Scenario_Library'!E51))*(1-(MAX(-0.5,MIN(0.9,IFERROR('Hist_Financials'!D8/'Hist_Financials'!D6,0)+'Scenario_Library'!F51/10000))))*(MAX(0,IFERROR('Hist_Financials'!D28/'Hist_Financials'!D7*365,0)+'Scenario_Library'!K51))/365,0))-'Hist_Financials'!D28 ))-('Hist_Financials'!D36*(1-'Scenario_Library'!P51))-('Hist_Financials'!D37*(1-'Scenario_Library'!Q51))-('Hist_Financials'!D38*(1-'Scenario_Library'!R51))-('Hist_Financials'!D27*(1-'Scenario_Library'!M51))-('Hist_Financials'!D30*'Scenario_Library'!N51*(1-'Scenario_Library'!O51)))) )/MAX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,0.01),99))&gt;'Scenario_Setup'!B13,(IFERROR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/MAX(((MAX(0,IFERROR('Hist_Financials'!D14/MAX('Hist_Financials'!D27+'Hist_Financials'!D30,1),0)+'Scenario_Library'!L51/10000))*('Hist_Financials'!D27+'Hist_Financials'!D30)),0.01),999))&lt;'Scenario_Setup'!B12,('Hist_Financials'!D32+(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-(MAX(0,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)*'Scenario_Library'!V51))-('Hist_Financials'!D37*(1-'Scenario_Library'!Q51))-('Hist_Financials'!D38*(1-'Scenario_Library'!R51)))&lt;0,(((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-(MAX(0,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)*'Scenario_Library'!V51))+'Hist_Financials'!D12+('Hist_Financials'!D24*'Scenario_Library'!S51)+('Hist_Financials'!D25*'Scenario_Library'!T51)-( (('Hist_Financials'!D6*(1+'Scenario_Library'!E51))*(MAX(0,IFERROR('Hist_Financials'!D21/'Hist_Financials'!D6*365,0)+'Scenario_Library'!I51))/365)-'Hist_Financials'!D21 )-( (IFERROR(('Hist_Financials'!D6*(1+'Scenario_Library'!E51))*(1-(MAX(-0.5,MIN(0.9,IFERROR('Hist_Financials'!D8/'Hist_Financials'!D6,0)+'Scenario_Library'!F51/10000))))*(MAX(0,IFERROR('Hist_Financials'!D22/'Hist_Financials'!D7*365,0)+'Scenario_Library'!J51))/365,0))-'Hist_Financials'!D22 )+( (IFERROR(('Hist_Financials'!D6*(1+'Scenario_Library'!E51))*(1-(MAX(-0.5,MIN(0.9,IFERROR('Hist_Financials'!D8/'Hist_Financials'!D6,0)+'Scenario_Library'!F51/10000))))*(MAX(0,IFERROR('Hist_Financials'!D28/'Hist_Financials'!D7*365,0)+'Scenario_Library'!K51))/365,0))-'Hist_Financials'!D28 ))-('Hist_Financials'!D36*(1-'Scenario_Library'!P51)))&lt;-0.2*'Hist_Financials'!D6),"CRITICAL",IF(AND((((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-(MAX(0,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)*'Scenario_Library'!V51))+'Hist_Financials'!D12+('Hist_Financials'!D24*'Scenario_Library'!S51)+('Hist_Financials'!D25*'Scenario_Library'!T51)-( (('Hist_Financials'!D6*(1+'Scenario_Library'!E51))*(MAX(0,IFERROR('Hist_Financials'!D21/'Hist_Financials'!D6*365,0)+'Scenario_Library'!I51))/365)-'Hist_Financials'!D21 )-( (IFERROR(('Hist_Financials'!D6*(1+'Scenario_Library'!E51))*(1-(MAX(-0.5,MIN(0.9,IFERROR('Hist_Financials'!D8/'Hist_Financials'!D6,0)+'Scenario_Library'!F51/10000))))*(MAX(0,IFERROR('Hist_Financials'!D22/'Hist_Financials'!D7*365,0)+'Scenario_Library'!J51))/365,0))-'Hist_Financials'!D22 )+( (IFERROR(('Hist_Financials'!D6*(1+'Scenario_Library'!E51))*(1-(MAX(-0.5,MIN(0.9,IFERROR('Hist_Financials'!D8/'Hist_Financials'!D6,0)+'Scenario_Library'!F51/10000))))*(MAX(0,IFERROR('Hist_Financials'!D28/'Hist_Financials'!D7*365,0)+'Scenario_Library'!K51))/365,0))-'Hist_Financials'!D28 ))-('Hist_Financials'!D36*(1-'Scenario_Library'!P51)))&gt;=0,(IFERROR(( (('Hist_Financials'!D27-('Hist_Financials'!D27*(1-'Scenario_Library'!M51)))+('Hist_Financials'!D30-('Hist_Financials'!D30*'Scenario_Library'!N51*(1-'Scenario_Library'!O51))))-(MAX(0,'Hist_Financials'!D20+((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-(MAX(0,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)*'Scenario_Library'!V51))+'Hist_Financials'!D12+('Hist_Financials'!D24*'Scenario_Library'!S51)+('Hist_Financials'!D25*'Scenario_Library'!T51)-( (('Hist_Financials'!D6*(1+'Scenario_Library'!E51))*(MAX(0,IFERROR('Hist_Financials'!D21/'Hist_Financials'!D6*365,0)+'Scenario_Library'!I51))/365)-'Hist_Financials'!D21 )-( (IFERROR(('Hist_Financials'!D6*(1+'Scenario_Library'!E51))*(1-(MAX(-0.5,MIN(0.9,IFERROR('Hist_Financials'!D8/'Hist_Financials'!D6,0)+'Scenario_Library'!F51/10000))))*(MAX(0,IFERROR('Hist_Financials'!D22/'Hist_Financials'!D7*365,0)+'Scenario_Library'!J51))/365,0))-'Hist_Financials'!D22 )+( (IFERROR(('Hist_Financials'!D6*(1+'Scenario_Library'!E51))*(1-(MAX(-0.5,MIN(0.9,IFERROR('Hist_Financials'!D8/'Hist_Financials'!D6,0)+'Scenario_Library'!F51/10000))))*(MAX(0,IFERROR('Hist_Financials'!D28/'Hist_Financials'!D7*365,0)+'Scenario_Library'!K51))/365,0))-'Hist_Financials'!D28 ))-('Hist_Financials'!D36*(1-'Scenario_Library'!P51))-('Hist_Financials'!D37*(1-'Scenario_Library'!Q51))-('Hist_Financials'!D38*(1-'Scenario_Library'!R51))-('Hist_Financials'!D27*(1-'Scenario_Library'!M51))-('Hist_Financials'!D30*'Scenario_Library'!N51*(1-'Scenario_Library'!O51)))) )/MAX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,0.01),99))&lt;3,(IFERROR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/MAX(((MAX(0,IFERROR('Hist_Financials'!D14/MAX('Hist_Financials'!D27+'Hist_Financials'!D30,1),0)+'Scenario_Library'!L51/10000))*('Hist_Financials'!D27+'Hist_Financials'!D30)),0.01),999))&gt;='Scenario_Setup'!B12,('Hist_Financials'!D32+(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-(MAX(0,((((('Hist_Financials'!D6*(1+'Scenario_Library'!E51))*(MAX(-0.5,MIN(0.9,IFERROR('Hist_Financials'!D8/'Hist_Financials'!D6,0)+'Scenario_Library'!F51/10000))))-(MAX(0,'Hist_Financials'!D9*(1+'Scenario_Setup'!B9*('Scenario_Library'!E51)+('Scenario_Library'!G51))))-(MAX(0,'Hist_Financials'!D10*(1+'Scenario_Library'!H51))))-'Hist_Financials'!D12)-((MAX(0,IFERROR('Hist_Financials'!D14/MAX('Hist_Financials'!D27+'Hist_Financials'!D30,1),0)+'Scenario_Library'!L51/10000))*('Hist_Financials'!D27+'Hist_Financials'!D30))-('Hist_Financials'!D24*'Scenario_Library'!S51)-('Hist_Financials'!D25*'Scenario_Library'!T51)-('Hist_Financials'!D6*'Scenario_Library'!U51)))*'Scenario_Library'!V51))-('Hist_Financials'!D37*(1-'Scenario_Library'!Q51))-('Hist_Financials'!D38*(1-'Scenario_Library'!R51)))&gt;0),"RESILIENT","WATCH")))</f>
        <v/>
      </c>
    </row>
    <row r="49" ht="17" customHeight="1" s="28">
      <c r="B49" s="223">
        <f>'Scenario_Library'!A52</f>
        <v/>
      </c>
      <c r="C49" s="224" t="inlineStr">
        <is>
          <t>Light</t>
        </is>
      </c>
      <c r="D49" s="225">
        <f>'Hist_Financials'!D6*(1+'Scenario_Library'!E52)</f>
        <v/>
      </c>
      <c r="E49" s="226">
        <f>('Hist_Financials'!D6*(1+'Scenario_Library'!E52))-'Hist_Financials'!D6</f>
        <v/>
      </c>
      <c r="F49" s="227">
        <f>IFERROR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/('Hist_Financials'!D6*(1+'Scenario_Library'!E52)),0)</f>
        <v/>
      </c>
      <c r="G49" s="225">
        <f>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</f>
        <v/>
      </c>
      <c r="H49" s="226">
        <f>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11</f>
        <v/>
      </c>
      <c r="I49" s="225">
        <f>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-(MAX(0,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)*'Scenario_Library'!V52)</f>
        <v/>
      </c>
      <c r="J49" s="225">
        <f>((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-(MAX(0,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)*'Scenario_Library'!V52))+'Hist_Financials'!D12+('Hist_Financials'!D24*'Scenario_Library'!S52)+('Hist_Financials'!D25*'Scenario_Library'!T52)-( (('Hist_Financials'!D6*(1+'Scenario_Library'!E52))*(MAX(0,IFERROR('Hist_Financials'!D21/'Hist_Financials'!D6*365,0)+'Scenario_Library'!I52))/365)-'Hist_Financials'!D21 )-( (IFERROR(('Hist_Financials'!D6*(1+'Scenario_Library'!E52))*(1-(MAX(-0.5,MIN(0.9,IFERROR('Hist_Financials'!D8/'Hist_Financials'!D6,0)+'Scenario_Library'!F52/10000))))*(MAX(0,IFERROR('Hist_Financials'!D22/'Hist_Financials'!D7*365,0)+'Scenario_Library'!J52))/365,0))-'Hist_Financials'!D22 )+( (IFERROR(('Hist_Financials'!D6*(1+'Scenario_Library'!E52))*(1-(MAX(-0.5,MIN(0.9,IFERROR('Hist_Financials'!D8/'Hist_Financials'!D6,0)+'Scenario_Library'!F52/10000))))*(MAX(0,IFERROR('Hist_Financials'!D28/'Hist_Financials'!D7*365,0)+'Scenario_Library'!K52))/365,0))-'Hist_Financials'!D28 ))-('Hist_Financials'!D36*(1-'Scenario_Library'!P52))</f>
        <v/>
      </c>
      <c r="K49" s="225">
        <f>MAX(0,'Hist_Financials'!D20+((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-(MAX(0,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)*'Scenario_Library'!V52))+'Hist_Financials'!D12+('Hist_Financials'!D24*'Scenario_Library'!S52)+('Hist_Financials'!D25*'Scenario_Library'!T52)-( (('Hist_Financials'!D6*(1+'Scenario_Library'!E52))*(MAX(0,IFERROR('Hist_Financials'!D21/'Hist_Financials'!D6*365,0)+'Scenario_Library'!I52))/365)-'Hist_Financials'!D21 )-( (IFERROR(('Hist_Financials'!D6*(1+'Scenario_Library'!E52))*(1-(MAX(-0.5,MIN(0.9,IFERROR('Hist_Financials'!D8/'Hist_Financials'!D6,0)+'Scenario_Library'!F52/10000))))*(MAX(0,IFERROR('Hist_Financials'!D22/'Hist_Financials'!D7*365,0)+'Scenario_Library'!J52))/365,0))-'Hist_Financials'!D22 )+( (IFERROR(('Hist_Financials'!D6*(1+'Scenario_Library'!E52))*(1-(MAX(-0.5,MIN(0.9,IFERROR('Hist_Financials'!D8/'Hist_Financials'!D6,0)+'Scenario_Library'!F52/10000))))*(MAX(0,IFERROR('Hist_Financials'!D28/'Hist_Financials'!D7*365,0)+'Scenario_Library'!K52))/365,0))-'Hist_Financials'!D28 ))-('Hist_Financials'!D36*(1-'Scenario_Library'!P52))-('Hist_Financials'!D37*(1-'Scenario_Library'!Q52))-('Hist_Financials'!D38*(1-'Scenario_Library'!R52))-('Hist_Financials'!D27*(1-'Scenario_Library'!M52))-('Hist_Financials'!D30*'Scenario_Library'!N52*(1-'Scenario_Library'!O52)))</f>
        <v/>
      </c>
      <c r="L49" s="228">
        <f>IF('Hist_Financials'!D6=0,"",IFERROR(( (('Hist_Financials'!D27-('Hist_Financials'!D27*(1-'Scenario_Library'!M52)))+('Hist_Financials'!D30-('Hist_Financials'!D30*'Scenario_Library'!N52*(1-'Scenario_Library'!O52))))-(MAX(0,'Hist_Financials'!D20+((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-(MAX(0,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)*'Scenario_Library'!V52))+'Hist_Financials'!D12+('Hist_Financials'!D24*'Scenario_Library'!S52)+('Hist_Financials'!D25*'Scenario_Library'!T52)-( (('Hist_Financials'!D6*(1+'Scenario_Library'!E52))*(MAX(0,IFERROR('Hist_Financials'!D21/'Hist_Financials'!D6*365,0)+'Scenario_Library'!I52))/365)-'Hist_Financials'!D21 )-( (IFERROR(('Hist_Financials'!D6*(1+'Scenario_Library'!E52))*(1-(MAX(-0.5,MIN(0.9,IFERROR('Hist_Financials'!D8/'Hist_Financials'!D6,0)+'Scenario_Library'!F52/10000))))*(MAX(0,IFERROR('Hist_Financials'!D22/'Hist_Financials'!D7*365,0)+'Scenario_Library'!J52))/365,0))-'Hist_Financials'!D22 )+( (IFERROR(('Hist_Financials'!D6*(1+'Scenario_Library'!E52))*(1-(MAX(-0.5,MIN(0.9,IFERROR('Hist_Financials'!D8/'Hist_Financials'!D6,0)+'Scenario_Library'!F52/10000))))*(MAX(0,IFERROR('Hist_Financials'!D28/'Hist_Financials'!D7*365,0)+'Scenario_Library'!K52))/365,0))-'Hist_Financials'!D28 ))-('Hist_Financials'!D36*(1-'Scenario_Library'!P52))-('Hist_Financials'!D37*(1-'Scenario_Library'!Q52))-('Hist_Financials'!D38*(1-'Scenario_Library'!R52))-('Hist_Financials'!D27*(1-'Scenario_Library'!M52))-('Hist_Financials'!D30*'Scenario_Library'!N52*(1-'Scenario_Library'!O52)))) )/MAX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,0.01),99))</f>
        <v/>
      </c>
      <c r="M49" s="228">
        <f>IF('Hist_Financials'!D6=0,"",IFERROR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/MAX(((MAX(0,IFERROR('Hist_Financials'!D14/MAX('Hist_Financials'!D27+'Hist_Financials'!D30,1),0)+'Scenario_Library'!L52/10000))*('Hist_Financials'!D27+'Hist_Financials'!D30)),0.01),999))</f>
        <v/>
      </c>
      <c r="N49" s="229">
        <f>IF('Hist_Financials'!D6=0,"— NO DATA —",IF(OR((IFERROR(( (('Hist_Financials'!D27-('Hist_Financials'!D27*(1-'Scenario_Library'!M52)))+('Hist_Financials'!D30-('Hist_Financials'!D30*'Scenario_Library'!N52*(1-'Scenario_Library'!O52))))-(MAX(0,'Hist_Financials'!D20+((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-(MAX(0,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)*'Scenario_Library'!V52))+'Hist_Financials'!D12+('Hist_Financials'!D24*'Scenario_Library'!S52)+('Hist_Financials'!D25*'Scenario_Library'!T52)-( (('Hist_Financials'!D6*(1+'Scenario_Library'!E52))*(MAX(0,IFERROR('Hist_Financials'!D21/'Hist_Financials'!D6*365,0)+'Scenario_Library'!I52))/365)-'Hist_Financials'!D21 )-( (IFERROR(('Hist_Financials'!D6*(1+'Scenario_Library'!E52))*(1-(MAX(-0.5,MIN(0.9,IFERROR('Hist_Financials'!D8/'Hist_Financials'!D6,0)+'Scenario_Library'!F52/10000))))*(MAX(0,IFERROR('Hist_Financials'!D22/'Hist_Financials'!D7*365,0)+'Scenario_Library'!J52))/365,0))-'Hist_Financials'!D22 )+( (IFERROR(('Hist_Financials'!D6*(1+'Scenario_Library'!E52))*(1-(MAX(-0.5,MIN(0.9,IFERROR('Hist_Financials'!D8/'Hist_Financials'!D6,0)+'Scenario_Library'!F52/10000))))*(MAX(0,IFERROR('Hist_Financials'!D28/'Hist_Financials'!D7*365,0)+'Scenario_Library'!K52))/365,0))-'Hist_Financials'!D28 ))-('Hist_Financials'!D36*(1-'Scenario_Library'!P52))-('Hist_Financials'!D37*(1-'Scenario_Library'!Q52))-('Hist_Financials'!D38*(1-'Scenario_Library'!R52))-('Hist_Financials'!D27*(1-'Scenario_Library'!M52))-('Hist_Financials'!D30*'Scenario_Library'!N52*(1-'Scenario_Library'!O52)))) )/MAX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,0.01),99))&gt;'Scenario_Setup'!B13,(IFERROR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/MAX(((MAX(0,IFERROR('Hist_Financials'!D14/MAX('Hist_Financials'!D27+'Hist_Financials'!D30,1),0)+'Scenario_Library'!L52/10000))*('Hist_Financials'!D27+'Hist_Financials'!D30)),0.01),999))&lt;'Scenario_Setup'!B12,('Hist_Financials'!D32+(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-(MAX(0,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)*'Scenario_Library'!V52))-('Hist_Financials'!D37*(1-'Scenario_Library'!Q52))-('Hist_Financials'!D38*(1-'Scenario_Library'!R52)))&lt;0,(((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-(MAX(0,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)*'Scenario_Library'!V52))+'Hist_Financials'!D12+('Hist_Financials'!D24*'Scenario_Library'!S52)+('Hist_Financials'!D25*'Scenario_Library'!T52)-( (('Hist_Financials'!D6*(1+'Scenario_Library'!E52))*(MAX(0,IFERROR('Hist_Financials'!D21/'Hist_Financials'!D6*365,0)+'Scenario_Library'!I52))/365)-'Hist_Financials'!D21 )-( (IFERROR(('Hist_Financials'!D6*(1+'Scenario_Library'!E52))*(1-(MAX(-0.5,MIN(0.9,IFERROR('Hist_Financials'!D8/'Hist_Financials'!D6,0)+'Scenario_Library'!F52/10000))))*(MAX(0,IFERROR('Hist_Financials'!D22/'Hist_Financials'!D7*365,0)+'Scenario_Library'!J52))/365,0))-'Hist_Financials'!D22 )+( (IFERROR(('Hist_Financials'!D6*(1+'Scenario_Library'!E52))*(1-(MAX(-0.5,MIN(0.9,IFERROR('Hist_Financials'!D8/'Hist_Financials'!D6,0)+'Scenario_Library'!F52/10000))))*(MAX(0,IFERROR('Hist_Financials'!D28/'Hist_Financials'!D7*365,0)+'Scenario_Library'!K52))/365,0))-'Hist_Financials'!D28 ))-('Hist_Financials'!D36*(1-'Scenario_Library'!P52)))&lt;-0.2*'Hist_Financials'!D6),"CRITICAL",IF(AND((((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-(MAX(0,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)*'Scenario_Library'!V52))+'Hist_Financials'!D12+('Hist_Financials'!D24*'Scenario_Library'!S52)+('Hist_Financials'!D25*'Scenario_Library'!T52)-( (('Hist_Financials'!D6*(1+'Scenario_Library'!E52))*(MAX(0,IFERROR('Hist_Financials'!D21/'Hist_Financials'!D6*365,0)+'Scenario_Library'!I52))/365)-'Hist_Financials'!D21 )-( (IFERROR(('Hist_Financials'!D6*(1+'Scenario_Library'!E52))*(1-(MAX(-0.5,MIN(0.9,IFERROR('Hist_Financials'!D8/'Hist_Financials'!D6,0)+'Scenario_Library'!F52/10000))))*(MAX(0,IFERROR('Hist_Financials'!D22/'Hist_Financials'!D7*365,0)+'Scenario_Library'!J52))/365,0))-'Hist_Financials'!D22 )+( (IFERROR(('Hist_Financials'!D6*(1+'Scenario_Library'!E52))*(1-(MAX(-0.5,MIN(0.9,IFERROR('Hist_Financials'!D8/'Hist_Financials'!D6,0)+'Scenario_Library'!F52/10000))))*(MAX(0,IFERROR('Hist_Financials'!D28/'Hist_Financials'!D7*365,0)+'Scenario_Library'!K52))/365,0))-'Hist_Financials'!D28 ))-('Hist_Financials'!D36*(1-'Scenario_Library'!P52)))&gt;=0,(IFERROR(( (('Hist_Financials'!D27-('Hist_Financials'!D27*(1-'Scenario_Library'!M52)))+('Hist_Financials'!D30-('Hist_Financials'!D30*'Scenario_Library'!N52*(1-'Scenario_Library'!O52))))-(MAX(0,'Hist_Financials'!D20+((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-(MAX(0,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)*'Scenario_Library'!V52))+'Hist_Financials'!D12+('Hist_Financials'!D24*'Scenario_Library'!S52)+('Hist_Financials'!D25*'Scenario_Library'!T52)-( (('Hist_Financials'!D6*(1+'Scenario_Library'!E52))*(MAX(0,IFERROR('Hist_Financials'!D21/'Hist_Financials'!D6*365,0)+'Scenario_Library'!I52))/365)-'Hist_Financials'!D21 )-( (IFERROR(('Hist_Financials'!D6*(1+'Scenario_Library'!E52))*(1-(MAX(-0.5,MIN(0.9,IFERROR('Hist_Financials'!D8/'Hist_Financials'!D6,0)+'Scenario_Library'!F52/10000))))*(MAX(0,IFERROR('Hist_Financials'!D22/'Hist_Financials'!D7*365,0)+'Scenario_Library'!J52))/365,0))-'Hist_Financials'!D22 )+( (IFERROR(('Hist_Financials'!D6*(1+'Scenario_Library'!E52))*(1-(MAX(-0.5,MIN(0.9,IFERROR('Hist_Financials'!D8/'Hist_Financials'!D6,0)+'Scenario_Library'!F52/10000))))*(MAX(0,IFERROR('Hist_Financials'!D28/'Hist_Financials'!D7*365,0)+'Scenario_Library'!K52))/365,0))-'Hist_Financials'!D28 ))-('Hist_Financials'!D36*(1-'Scenario_Library'!P52))-('Hist_Financials'!D37*(1-'Scenario_Library'!Q52))-('Hist_Financials'!D38*(1-'Scenario_Library'!R52))-('Hist_Financials'!D27*(1-'Scenario_Library'!M52))-('Hist_Financials'!D30*'Scenario_Library'!N52*(1-'Scenario_Library'!O52)))) )/MAX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,0.01),99))&lt;3,(IFERROR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/MAX(((MAX(0,IFERROR('Hist_Financials'!D14/MAX('Hist_Financials'!D27+'Hist_Financials'!D30,1),0)+'Scenario_Library'!L52/10000))*('Hist_Financials'!D27+'Hist_Financials'!D30)),0.01),999))&gt;='Scenario_Setup'!B12,('Hist_Financials'!D32+(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-(MAX(0,((((('Hist_Financials'!D6*(1+'Scenario_Library'!E52))*(MAX(-0.5,MIN(0.9,IFERROR('Hist_Financials'!D8/'Hist_Financials'!D6,0)+'Scenario_Library'!F52/10000))))-(MAX(0,'Hist_Financials'!D9*(1+'Scenario_Setup'!B9*('Scenario_Library'!E52)+('Scenario_Library'!G52))))-(MAX(0,'Hist_Financials'!D10*(1+'Scenario_Library'!H52))))-'Hist_Financials'!D12)-((MAX(0,IFERROR('Hist_Financials'!D14/MAX('Hist_Financials'!D27+'Hist_Financials'!D30,1),0)+'Scenario_Library'!L52/10000))*('Hist_Financials'!D27+'Hist_Financials'!D30))-('Hist_Financials'!D24*'Scenario_Library'!S52)-('Hist_Financials'!D25*'Scenario_Library'!T52)-('Hist_Financials'!D6*'Scenario_Library'!U52)))*'Scenario_Library'!V52))-('Hist_Financials'!D37*(1-'Scenario_Library'!Q52))-('Hist_Financials'!D38*(1-'Scenario_Library'!R52)))&gt;0),"RESILIENT","WATCH")))</f>
        <v/>
      </c>
    </row>
    <row r="50" ht="17" customHeight="1" s="28">
      <c r="B50" s="230">
        <f>'Scenario_Library'!A53</f>
        <v/>
      </c>
      <c r="C50" s="231" t="inlineStr">
        <is>
          <t>Base</t>
        </is>
      </c>
      <c r="D50" s="215">
        <f>'Hist_Financials'!D6*(1+'Scenario_Library'!E53)</f>
        <v/>
      </c>
      <c r="E50" s="213">
        <f>('Hist_Financials'!D6*(1+'Scenario_Library'!E53))-'Hist_Financials'!D6</f>
        <v/>
      </c>
      <c r="F50" s="214">
        <f>IFERROR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/('Hist_Financials'!D6*(1+'Scenario_Library'!E53)),0)</f>
        <v/>
      </c>
      <c r="G50" s="215">
        <f>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</f>
        <v/>
      </c>
      <c r="H50" s="213">
        <f>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11</f>
        <v/>
      </c>
      <c r="I50" s="215">
        <f>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-(MAX(0,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)*'Scenario_Library'!V53)</f>
        <v/>
      </c>
      <c r="J50" s="215">
        <f>((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-(MAX(0,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)*'Scenario_Library'!V53))+'Hist_Financials'!D12+('Hist_Financials'!D24*'Scenario_Library'!S53)+('Hist_Financials'!D25*'Scenario_Library'!T53)-( (('Hist_Financials'!D6*(1+'Scenario_Library'!E53))*(MAX(0,IFERROR('Hist_Financials'!D21/'Hist_Financials'!D6*365,0)+'Scenario_Library'!I53))/365)-'Hist_Financials'!D21 )-( (IFERROR(('Hist_Financials'!D6*(1+'Scenario_Library'!E53))*(1-(MAX(-0.5,MIN(0.9,IFERROR('Hist_Financials'!D8/'Hist_Financials'!D6,0)+'Scenario_Library'!F53/10000))))*(MAX(0,IFERROR('Hist_Financials'!D22/'Hist_Financials'!D7*365,0)+'Scenario_Library'!J53))/365,0))-'Hist_Financials'!D22 )+( (IFERROR(('Hist_Financials'!D6*(1+'Scenario_Library'!E53))*(1-(MAX(-0.5,MIN(0.9,IFERROR('Hist_Financials'!D8/'Hist_Financials'!D6,0)+'Scenario_Library'!F53/10000))))*(MAX(0,IFERROR('Hist_Financials'!D28/'Hist_Financials'!D7*365,0)+'Scenario_Library'!K53))/365,0))-'Hist_Financials'!D28 ))-('Hist_Financials'!D36*(1-'Scenario_Library'!P53))</f>
        <v/>
      </c>
      <c r="K50" s="215">
        <f>MAX(0,'Hist_Financials'!D20+((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-(MAX(0,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)*'Scenario_Library'!V53))+'Hist_Financials'!D12+('Hist_Financials'!D24*'Scenario_Library'!S53)+('Hist_Financials'!D25*'Scenario_Library'!T53)-( (('Hist_Financials'!D6*(1+'Scenario_Library'!E53))*(MAX(0,IFERROR('Hist_Financials'!D21/'Hist_Financials'!D6*365,0)+'Scenario_Library'!I53))/365)-'Hist_Financials'!D21 )-( (IFERROR(('Hist_Financials'!D6*(1+'Scenario_Library'!E53))*(1-(MAX(-0.5,MIN(0.9,IFERROR('Hist_Financials'!D8/'Hist_Financials'!D6,0)+'Scenario_Library'!F53/10000))))*(MAX(0,IFERROR('Hist_Financials'!D22/'Hist_Financials'!D7*365,0)+'Scenario_Library'!J53))/365,0))-'Hist_Financials'!D22 )+( (IFERROR(('Hist_Financials'!D6*(1+'Scenario_Library'!E53))*(1-(MAX(-0.5,MIN(0.9,IFERROR('Hist_Financials'!D8/'Hist_Financials'!D6,0)+'Scenario_Library'!F53/10000))))*(MAX(0,IFERROR('Hist_Financials'!D28/'Hist_Financials'!D7*365,0)+'Scenario_Library'!K53))/365,0))-'Hist_Financials'!D28 ))-('Hist_Financials'!D36*(1-'Scenario_Library'!P53))-('Hist_Financials'!D37*(1-'Scenario_Library'!Q53))-('Hist_Financials'!D38*(1-'Scenario_Library'!R53))-('Hist_Financials'!D27*(1-'Scenario_Library'!M53))-('Hist_Financials'!D30*'Scenario_Library'!N53*(1-'Scenario_Library'!O53)))</f>
        <v/>
      </c>
      <c r="L50" s="216">
        <f>IF('Hist_Financials'!D6=0,"",IFERROR(( (('Hist_Financials'!D27-('Hist_Financials'!D27*(1-'Scenario_Library'!M53)))+('Hist_Financials'!D30-('Hist_Financials'!D30*'Scenario_Library'!N53*(1-'Scenario_Library'!O53))))-(MAX(0,'Hist_Financials'!D20+((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-(MAX(0,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)*'Scenario_Library'!V53))+'Hist_Financials'!D12+('Hist_Financials'!D24*'Scenario_Library'!S53)+('Hist_Financials'!D25*'Scenario_Library'!T53)-( (('Hist_Financials'!D6*(1+'Scenario_Library'!E53))*(MAX(0,IFERROR('Hist_Financials'!D21/'Hist_Financials'!D6*365,0)+'Scenario_Library'!I53))/365)-'Hist_Financials'!D21 )-( (IFERROR(('Hist_Financials'!D6*(1+'Scenario_Library'!E53))*(1-(MAX(-0.5,MIN(0.9,IFERROR('Hist_Financials'!D8/'Hist_Financials'!D6,0)+'Scenario_Library'!F53/10000))))*(MAX(0,IFERROR('Hist_Financials'!D22/'Hist_Financials'!D7*365,0)+'Scenario_Library'!J53))/365,0))-'Hist_Financials'!D22 )+( (IFERROR(('Hist_Financials'!D6*(1+'Scenario_Library'!E53))*(1-(MAX(-0.5,MIN(0.9,IFERROR('Hist_Financials'!D8/'Hist_Financials'!D6,0)+'Scenario_Library'!F53/10000))))*(MAX(0,IFERROR('Hist_Financials'!D28/'Hist_Financials'!D7*365,0)+'Scenario_Library'!K53))/365,0))-'Hist_Financials'!D28 ))-('Hist_Financials'!D36*(1-'Scenario_Library'!P53))-('Hist_Financials'!D37*(1-'Scenario_Library'!Q53))-('Hist_Financials'!D38*(1-'Scenario_Library'!R53))-('Hist_Financials'!D27*(1-'Scenario_Library'!M53))-('Hist_Financials'!D30*'Scenario_Library'!N53*(1-'Scenario_Library'!O53)))) )/MAX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,0.01),99))</f>
        <v/>
      </c>
      <c r="M50" s="216">
        <f>IF('Hist_Financials'!D6=0,"",IFERROR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/MAX(((MAX(0,IFERROR('Hist_Financials'!D14/MAX('Hist_Financials'!D27+'Hist_Financials'!D30,1),0)+'Scenario_Library'!L53/10000))*('Hist_Financials'!D27+'Hist_Financials'!D30)),0.01),999))</f>
        <v/>
      </c>
      <c r="N50" s="212">
        <f>IF('Hist_Financials'!D6=0,"— NO DATA —",IF(OR((IFERROR(( (('Hist_Financials'!D27-('Hist_Financials'!D27*(1-'Scenario_Library'!M53)))+('Hist_Financials'!D30-('Hist_Financials'!D30*'Scenario_Library'!N53*(1-'Scenario_Library'!O53))))-(MAX(0,'Hist_Financials'!D20+((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-(MAX(0,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)*'Scenario_Library'!V53))+'Hist_Financials'!D12+('Hist_Financials'!D24*'Scenario_Library'!S53)+('Hist_Financials'!D25*'Scenario_Library'!T53)-( (('Hist_Financials'!D6*(1+'Scenario_Library'!E53))*(MAX(0,IFERROR('Hist_Financials'!D21/'Hist_Financials'!D6*365,0)+'Scenario_Library'!I53))/365)-'Hist_Financials'!D21 )-( (IFERROR(('Hist_Financials'!D6*(1+'Scenario_Library'!E53))*(1-(MAX(-0.5,MIN(0.9,IFERROR('Hist_Financials'!D8/'Hist_Financials'!D6,0)+'Scenario_Library'!F53/10000))))*(MAX(0,IFERROR('Hist_Financials'!D22/'Hist_Financials'!D7*365,0)+'Scenario_Library'!J53))/365,0))-'Hist_Financials'!D22 )+( (IFERROR(('Hist_Financials'!D6*(1+'Scenario_Library'!E53))*(1-(MAX(-0.5,MIN(0.9,IFERROR('Hist_Financials'!D8/'Hist_Financials'!D6,0)+'Scenario_Library'!F53/10000))))*(MAX(0,IFERROR('Hist_Financials'!D28/'Hist_Financials'!D7*365,0)+'Scenario_Library'!K53))/365,0))-'Hist_Financials'!D28 ))-('Hist_Financials'!D36*(1-'Scenario_Library'!P53))-('Hist_Financials'!D37*(1-'Scenario_Library'!Q53))-('Hist_Financials'!D38*(1-'Scenario_Library'!R53))-('Hist_Financials'!D27*(1-'Scenario_Library'!M53))-('Hist_Financials'!D30*'Scenario_Library'!N53*(1-'Scenario_Library'!O53)))) )/MAX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,0.01),99))&gt;'Scenario_Setup'!B13,(IFERROR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/MAX(((MAX(0,IFERROR('Hist_Financials'!D14/MAX('Hist_Financials'!D27+'Hist_Financials'!D30,1),0)+'Scenario_Library'!L53/10000))*('Hist_Financials'!D27+'Hist_Financials'!D30)),0.01),999))&lt;'Scenario_Setup'!B12,('Hist_Financials'!D32+(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-(MAX(0,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)*'Scenario_Library'!V53))-('Hist_Financials'!D37*(1-'Scenario_Library'!Q53))-('Hist_Financials'!D38*(1-'Scenario_Library'!R53)))&lt;0,(((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-(MAX(0,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)*'Scenario_Library'!V53))+'Hist_Financials'!D12+('Hist_Financials'!D24*'Scenario_Library'!S53)+('Hist_Financials'!D25*'Scenario_Library'!T53)-( (('Hist_Financials'!D6*(1+'Scenario_Library'!E53))*(MAX(0,IFERROR('Hist_Financials'!D21/'Hist_Financials'!D6*365,0)+'Scenario_Library'!I53))/365)-'Hist_Financials'!D21 )-( (IFERROR(('Hist_Financials'!D6*(1+'Scenario_Library'!E53))*(1-(MAX(-0.5,MIN(0.9,IFERROR('Hist_Financials'!D8/'Hist_Financials'!D6,0)+'Scenario_Library'!F53/10000))))*(MAX(0,IFERROR('Hist_Financials'!D22/'Hist_Financials'!D7*365,0)+'Scenario_Library'!J53))/365,0))-'Hist_Financials'!D22 )+( (IFERROR(('Hist_Financials'!D6*(1+'Scenario_Library'!E53))*(1-(MAX(-0.5,MIN(0.9,IFERROR('Hist_Financials'!D8/'Hist_Financials'!D6,0)+'Scenario_Library'!F53/10000))))*(MAX(0,IFERROR('Hist_Financials'!D28/'Hist_Financials'!D7*365,0)+'Scenario_Library'!K53))/365,0))-'Hist_Financials'!D28 ))-('Hist_Financials'!D36*(1-'Scenario_Library'!P53)))&lt;-0.2*'Hist_Financials'!D6),"CRITICAL",IF(AND((((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-(MAX(0,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)*'Scenario_Library'!V53))+'Hist_Financials'!D12+('Hist_Financials'!D24*'Scenario_Library'!S53)+('Hist_Financials'!D25*'Scenario_Library'!T53)-( (('Hist_Financials'!D6*(1+'Scenario_Library'!E53))*(MAX(0,IFERROR('Hist_Financials'!D21/'Hist_Financials'!D6*365,0)+'Scenario_Library'!I53))/365)-'Hist_Financials'!D21 )-( (IFERROR(('Hist_Financials'!D6*(1+'Scenario_Library'!E53))*(1-(MAX(-0.5,MIN(0.9,IFERROR('Hist_Financials'!D8/'Hist_Financials'!D6,0)+'Scenario_Library'!F53/10000))))*(MAX(0,IFERROR('Hist_Financials'!D22/'Hist_Financials'!D7*365,0)+'Scenario_Library'!J53))/365,0))-'Hist_Financials'!D22 )+( (IFERROR(('Hist_Financials'!D6*(1+'Scenario_Library'!E53))*(1-(MAX(-0.5,MIN(0.9,IFERROR('Hist_Financials'!D8/'Hist_Financials'!D6,0)+'Scenario_Library'!F53/10000))))*(MAX(0,IFERROR('Hist_Financials'!D28/'Hist_Financials'!D7*365,0)+'Scenario_Library'!K53))/365,0))-'Hist_Financials'!D28 ))-('Hist_Financials'!D36*(1-'Scenario_Library'!P53)))&gt;=0,(IFERROR(( (('Hist_Financials'!D27-('Hist_Financials'!D27*(1-'Scenario_Library'!M53)))+('Hist_Financials'!D30-('Hist_Financials'!D30*'Scenario_Library'!N53*(1-'Scenario_Library'!O53))))-(MAX(0,'Hist_Financials'!D20+((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-(MAX(0,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)*'Scenario_Library'!V53))+'Hist_Financials'!D12+('Hist_Financials'!D24*'Scenario_Library'!S53)+('Hist_Financials'!D25*'Scenario_Library'!T53)-( (('Hist_Financials'!D6*(1+'Scenario_Library'!E53))*(MAX(0,IFERROR('Hist_Financials'!D21/'Hist_Financials'!D6*365,0)+'Scenario_Library'!I53))/365)-'Hist_Financials'!D21 )-( (IFERROR(('Hist_Financials'!D6*(1+'Scenario_Library'!E53))*(1-(MAX(-0.5,MIN(0.9,IFERROR('Hist_Financials'!D8/'Hist_Financials'!D6,0)+'Scenario_Library'!F53/10000))))*(MAX(0,IFERROR('Hist_Financials'!D22/'Hist_Financials'!D7*365,0)+'Scenario_Library'!J53))/365,0))-'Hist_Financials'!D22 )+( (IFERROR(('Hist_Financials'!D6*(1+'Scenario_Library'!E53))*(1-(MAX(-0.5,MIN(0.9,IFERROR('Hist_Financials'!D8/'Hist_Financials'!D6,0)+'Scenario_Library'!F53/10000))))*(MAX(0,IFERROR('Hist_Financials'!D28/'Hist_Financials'!D7*365,0)+'Scenario_Library'!K53))/365,0))-'Hist_Financials'!D28 ))-('Hist_Financials'!D36*(1-'Scenario_Library'!P53))-('Hist_Financials'!D37*(1-'Scenario_Library'!Q53))-('Hist_Financials'!D38*(1-'Scenario_Library'!R53))-('Hist_Financials'!D27*(1-'Scenario_Library'!M53))-('Hist_Financials'!D30*'Scenario_Library'!N53*(1-'Scenario_Library'!O53)))) )/MAX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,0.01),99))&lt;3,(IFERROR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/MAX(((MAX(0,IFERROR('Hist_Financials'!D14/MAX('Hist_Financials'!D27+'Hist_Financials'!D30,1),0)+'Scenario_Library'!L53/10000))*('Hist_Financials'!D27+'Hist_Financials'!D30)),0.01),999))&gt;='Scenario_Setup'!B12,('Hist_Financials'!D32+(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-(MAX(0,((((('Hist_Financials'!D6*(1+'Scenario_Library'!E53))*(MAX(-0.5,MIN(0.9,IFERROR('Hist_Financials'!D8/'Hist_Financials'!D6,0)+'Scenario_Library'!F53/10000))))-(MAX(0,'Hist_Financials'!D9*(1+'Scenario_Setup'!B9*('Scenario_Library'!E53)+('Scenario_Library'!G53))))-(MAX(0,'Hist_Financials'!D10*(1+'Scenario_Library'!H53))))-'Hist_Financials'!D12)-((MAX(0,IFERROR('Hist_Financials'!D14/MAX('Hist_Financials'!D27+'Hist_Financials'!D30,1),0)+'Scenario_Library'!L53/10000))*('Hist_Financials'!D27+'Hist_Financials'!D30))-('Hist_Financials'!D24*'Scenario_Library'!S53)-('Hist_Financials'!D25*'Scenario_Library'!T53)-('Hist_Financials'!D6*'Scenario_Library'!U53)))*'Scenario_Library'!V53))-('Hist_Financials'!D37*(1-'Scenario_Library'!Q53))-('Hist_Financials'!D38*(1-'Scenario_Library'!R53)))&gt;0),"RESILIENT","WATCH")))</f>
        <v/>
      </c>
    </row>
    <row r="51" ht="17" customHeight="1" s="28">
      <c r="B51" s="230">
        <f>'Scenario_Library'!A54</f>
        <v/>
      </c>
      <c r="C51" s="232" t="inlineStr">
        <is>
          <t>Severe</t>
        </is>
      </c>
      <c r="D51" s="221">
        <f>'Hist_Financials'!D6*(1+'Scenario_Library'!E54)</f>
        <v/>
      </c>
      <c r="E51" s="219">
        <f>('Hist_Financials'!D6*(1+'Scenario_Library'!E54))-'Hist_Financials'!D6</f>
        <v/>
      </c>
      <c r="F51" s="220">
        <f>IFERROR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/('Hist_Financials'!D6*(1+'Scenario_Library'!E54)),0)</f>
        <v/>
      </c>
      <c r="G51" s="221">
        <f>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</f>
        <v/>
      </c>
      <c r="H51" s="219">
        <f>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11</f>
        <v/>
      </c>
      <c r="I51" s="221">
        <f>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-(MAX(0,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)*'Scenario_Library'!V54)</f>
        <v/>
      </c>
      <c r="J51" s="221">
        <f>((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-(MAX(0,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)*'Scenario_Library'!V54))+'Hist_Financials'!D12+('Hist_Financials'!D24*'Scenario_Library'!S54)+('Hist_Financials'!D25*'Scenario_Library'!T54)-( (('Hist_Financials'!D6*(1+'Scenario_Library'!E54))*(MAX(0,IFERROR('Hist_Financials'!D21/'Hist_Financials'!D6*365,0)+'Scenario_Library'!I54))/365)-'Hist_Financials'!D21 )-( (IFERROR(('Hist_Financials'!D6*(1+'Scenario_Library'!E54))*(1-(MAX(-0.5,MIN(0.9,IFERROR('Hist_Financials'!D8/'Hist_Financials'!D6,0)+'Scenario_Library'!F54/10000))))*(MAX(0,IFERROR('Hist_Financials'!D22/'Hist_Financials'!D7*365,0)+'Scenario_Library'!J54))/365,0))-'Hist_Financials'!D22 )+( (IFERROR(('Hist_Financials'!D6*(1+'Scenario_Library'!E54))*(1-(MAX(-0.5,MIN(0.9,IFERROR('Hist_Financials'!D8/'Hist_Financials'!D6,0)+'Scenario_Library'!F54/10000))))*(MAX(0,IFERROR('Hist_Financials'!D28/'Hist_Financials'!D7*365,0)+'Scenario_Library'!K54))/365,0))-'Hist_Financials'!D28 ))-('Hist_Financials'!D36*(1-'Scenario_Library'!P54))</f>
        <v/>
      </c>
      <c r="K51" s="221">
        <f>MAX(0,'Hist_Financials'!D20+((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-(MAX(0,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)*'Scenario_Library'!V54))+'Hist_Financials'!D12+('Hist_Financials'!D24*'Scenario_Library'!S54)+('Hist_Financials'!D25*'Scenario_Library'!T54)-( (('Hist_Financials'!D6*(1+'Scenario_Library'!E54))*(MAX(0,IFERROR('Hist_Financials'!D21/'Hist_Financials'!D6*365,0)+'Scenario_Library'!I54))/365)-'Hist_Financials'!D21 )-( (IFERROR(('Hist_Financials'!D6*(1+'Scenario_Library'!E54))*(1-(MAX(-0.5,MIN(0.9,IFERROR('Hist_Financials'!D8/'Hist_Financials'!D6,0)+'Scenario_Library'!F54/10000))))*(MAX(0,IFERROR('Hist_Financials'!D22/'Hist_Financials'!D7*365,0)+'Scenario_Library'!J54))/365,0))-'Hist_Financials'!D22 )+( (IFERROR(('Hist_Financials'!D6*(1+'Scenario_Library'!E54))*(1-(MAX(-0.5,MIN(0.9,IFERROR('Hist_Financials'!D8/'Hist_Financials'!D6,0)+'Scenario_Library'!F54/10000))))*(MAX(0,IFERROR('Hist_Financials'!D28/'Hist_Financials'!D7*365,0)+'Scenario_Library'!K54))/365,0))-'Hist_Financials'!D28 ))-('Hist_Financials'!D36*(1-'Scenario_Library'!P54))-('Hist_Financials'!D37*(1-'Scenario_Library'!Q54))-('Hist_Financials'!D38*(1-'Scenario_Library'!R54))-('Hist_Financials'!D27*(1-'Scenario_Library'!M54))-('Hist_Financials'!D30*'Scenario_Library'!N54*(1-'Scenario_Library'!O54)))</f>
        <v/>
      </c>
      <c r="L51" s="222">
        <f>IF('Hist_Financials'!D6=0,"",IFERROR(( (('Hist_Financials'!D27-('Hist_Financials'!D27*(1-'Scenario_Library'!M54)))+('Hist_Financials'!D30-('Hist_Financials'!D30*'Scenario_Library'!N54*(1-'Scenario_Library'!O54))))-(MAX(0,'Hist_Financials'!D20+((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-(MAX(0,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)*'Scenario_Library'!V54))+'Hist_Financials'!D12+('Hist_Financials'!D24*'Scenario_Library'!S54)+('Hist_Financials'!D25*'Scenario_Library'!T54)-( (('Hist_Financials'!D6*(1+'Scenario_Library'!E54))*(MAX(0,IFERROR('Hist_Financials'!D21/'Hist_Financials'!D6*365,0)+'Scenario_Library'!I54))/365)-'Hist_Financials'!D21 )-( (IFERROR(('Hist_Financials'!D6*(1+'Scenario_Library'!E54))*(1-(MAX(-0.5,MIN(0.9,IFERROR('Hist_Financials'!D8/'Hist_Financials'!D6,0)+'Scenario_Library'!F54/10000))))*(MAX(0,IFERROR('Hist_Financials'!D22/'Hist_Financials'!D7*365,0)+'Scenario_Library'!J54))/365,0))-'Hist_Financials'!D22 )+( (IFERROR(('Hist_Financials'!D6*(1+'Scenario_Library'!E54))*(1-(MAX(-0.5,MIN(0.9,IFERROR('Hist_Financials'!D8/'Hist_Financials'!D6,0)+'Scenario_Library'!F54/10000))))*(MAX(0,IFERROR('Hist_Financials'!D28/'Hist_Financials'!D7*365,0)+'Scenario_Library'!K54))/365,0))-'Hist_Financials'!D28 ))-('Hist_Financials'!D36*(1-'Scenario_Library'!P54))-('Hist_Financials'!D37*(1-'Scenario_Library'!Q54))-('Hist_Financials'!D38*(1-'Scenario_Library'!R54))-('Hist_Financials'!D27*(1-'Scenario_Library'!M54))-('Hist_Financials'!D30*'Scenario_Library'!N54*(1-'Scenario_Library'!O54)))) )/MAX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,0.01),99))</f>
        <v/>
      </c>
      <c r="M51" s="222">
        <f>IF('Hist_Financials'!D6=0,"",IFERROR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/MAX(((MAX(0,IFERROR('Hist_Financials'!D14/MAX('Hist_Financials'!D27+'Hist_Financials'!D30,1),0)+'Scenario_Library'!L54/10000))*('Hist_Financials'!D27+'Hist_Financials'!D30)),0.01),999))</f>
        <v/>
      </c>
      <c r="N51" s="218">
        <f>IF('Hist_Financials'!D6=0,"— NO DATA —",IF(OR((IFERROR(( (('Hist_Financials'!D27-('Hist_Financials'!D27*(1-'Scenario_Library'!M54)))+('Hist_Financials'!D30-('Hist_Financials'!D30*'Scenario_Library'!N54*(1-'Scenario_Library'!O54))))-(MAX(0,'Hist_Financials'!D20+((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-(MAX(0,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)*'Scenario_Library'!V54))+'Hist_Financials'!D12+('Hist_Financials'!D24*'Scenario_Library'!S54)+('Hist_Financials'!D25*'Scenario_Library'!T54)-( (('Hist_Financials'!D6*(1+'Scenario_Library'!E54))*(MAX(0,IFERROR('Hist_Financials'!D21/'Hist_Financials'!D6*365,0)+'Scenario_Library'!I54))/365)-'Hist_Financials'!D21 )-( (IFERROR(('Hist_Financials'!D6*(1+'Scenario_Library'!E54))*(1-(MAX(-0.5,MIN(0.9,IFERROR('Hist_Financials'!D8/'Hist_Financials'!D6,0)+'Scenario_Library'!F54/10000))))*(MAX(0,IFERROR('Hist_Financials'!D22/'Hist_Financials'!D7*365,0)+'Scenario_Library'!J54))/365,0))-'Hist_Financials'!D22 )+( (IFERROR(('Hist_Financials'!D6*(1+'Scenario_Library'!E54))*(1-(MAX(-0.5,MIN(0.9,IFERROR('Hist_Financials'!D8/'Hist_Financials'!D6,0)+'Scenario_Library'!F54/10000))))*(MAX(0,IFERROR('Hist_Financials'!D28/'Hist_Financials'!D7*365,0)+'Scenario_Library'!K54))/365,0))-'Hist_Financials'!D28 ))-('Hist_Financials'!D36*(1-'Scenario_Library'!P54))-('Hist_Financials'!D37*(1-'Scenario_Library'!Q54))-('Hist_Financials'!D38*(1-'Scenario_Library'!R54))-('Hist_Financials'!D27*(1-'Scenario_Library'!M54))-('Hist_Financials'!D30*'Scenario_Library'!N54*(1-'Scenario_Library'!O54)))) )/MAX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,0.01),99))&gt;'Scenario_Setup'!B13,(IFERROR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/MAX(((MAX(0,IFERROR('Hist_Financials'!D14/MAX('Hist_Financials'!D27+'Hist_Financials'!D30,1),0)+'Scenario_Library'!L54/10000))*('Hist_Financials'!D27+'Hist_Financials'!D30)),0.01),999))&lt;'Scenario_Setup'!B12,('Hist_Financials'!D32+(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-(MAX(0,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)*'Scenario_Library'!V54))-('Hist_Financials'!D37*(1-'Scenario_Library'!Q54))-('Hist_Financials'!D38*(1-'Scenario_Library'!R54)))&lt;0,(((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-(MAX(0,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)*'Scenario_Library'!V54))+'Hist_Financials'!D12+('Hist_Financials'!D24*'Scenario_Library'!S54)+('Hist_Financials'!D25*'Scenario_Library'!T54)-( (('Hist_Financials'!D6*(1+'Scenario_Library'!E54))*(MAX(0,IFERROR('Hist_Financials'!D21/'Hist_Financials'!D6*365,0)+'Scenario_Library'!I54))/365)-'Hist_Financials'!D21 )-( (IFERROR(('Hist_Financials'!D6*(1+'Scenario_Library'!E54))*(1-(MAX(-0.5,MIN(0.9,IFERROR('Hist_Financials'!D8/'Hist_Financials'!D6,0)+'Scenario_Library'!F54/10000))))*(MAX(0,IFERROR('Hist_Financials'!D22/'Hist_Financials'!D7*365,0)+'Scenario_Library'!J54))/365,0))-'Hist_Financials'!D22 )+( (IFERROR(('Hist_Financials'!D6*(1+'Scenario_Library'!E54))*(1-(MAX(-0.5,MIN(0.9,IFERROR('Hist_Financials'!D8/'Hist_Financials'!D6,0)+'Scenario_Library'!F54/10000))))*(MAX(0,IFERROR('Hist_Financials'!D28/'Hist_Financials'!D7*365,0)+'Scenario_Library'!K54))/365,0))-'Hist_Financials'!D28 ))-('Hist_Financials'!D36*(1-'Scenario_Library'!P54)))&lt;-0.2*'Hist_Financials'!D6),"CRITICAL",IF(AND((((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-(MAX(0,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)*'Scenario_Library'!V54))+'Hist_Financials'!D12+('Hist_Financials'!D24*'Scenario_Library'!S54)+('Hist_Financials'!D25*'Scenario_Library'!T54)-( (('Hist_Financials'!D6*(1+'Scenario_Library'!E54))*(MAX(0,IFERROR('Hist_Financials'!D21/'Hist_Financials'!D6*365,0)+'Scenario_Library'!I54))/365)-'Hist_Financials'!D21 )-( (IFERROR(('Hist_Financials'!D6*(1+'Scenario_Library'!E54))*(1-(MAX(-0.5,MIN(0.9,IFERROR('Hist_Financials'!D8/'Hist_Financials'!D6,0)+'Scenario_Library'!F54/10000))))*(MAX(0,IFERROR('Hist_Financials'!D22/'Hist_Financials'!D7*365,0)+'Scenario_Library'!J54))/365,0))-'Hist_Financials'!D22 )+( (IFERROR(('Hist_Financials'!D6*(1+'Scenario_Library'!E54))*(1-(MAX(-0.5,MIN(0.9,IFERROR('Hist_Financials'!D8/'Hist_Financials'!D6,0)+'Scenario_Library'!F54/10000))))*(MAX(0,IFERROR('Hist_Financials'!D28/'Hist_Financials'!D7*365,0)+'Scenario_Library'!K54))/365,0))-'Hist_Financials'!D28 ))-('Hist_Financials'!D36*(1-'Scenario_Library'!P54)))&gt;=0,(IFERROR(( (('Hist_Financials'!D27-('Hist_Financials'!D27*(1-'Scenario_Library'!M54)))+('Hist_Financials'!D30-('Hist_Financials'!D30*'Scenario_Library'!N54*(1-'Scenario_Library'!O54))))-(MAX(0,'Hist_Financials'!D20+((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-(MAX(0,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)*'Scenario_Library'!V54))+'Hist_Financials'!D12+('Hist_Financials'!D24*'Scenario_Library'!S54)+('Hist_Financials'!D25*'Scenario_Library'!T54)-( (('Hist_Financials'!D6*(1+'Scenario_Library'!E54))*(MAX(0,IFERROR('Hist_Financials'!D21/'Hist_Financials'!D6*365,0)+'Scenario_Library'!I54))/365)-'Hist_Financials'!D21 )-( (IFERROR(('Hist_Financials'!D6*(1+'Scenario_Library'!E54))*(1-(MAX(-0.5,MIN(0.9,IFERROR('Hist_Financials'!D8/'Hist_Financials'!D6,0)+'Scenario_Library'!F54/10000))))*(MAX(0,IFERROR('Hist_Financials'!D22/'Hist_Financials'!D7*365,0)+'Scenario_Library'!J54))/365,0))-'Hist_Financials'!D22 )+( (IFERROR(('Hist_Financials'!D6*(1+'Scenario_Library'!E54))*(1-(MAX(-0.5,MIN(0.9,IFERROR('Hist_Financials'!D8/'Hist_Financials'!D6,0)+'Scenario_Library'!F54/10000))))*(MAX(0,IFERROR('Hist_Financials'!D28/'Hist_Financials'!D7*365,0)+'Scenario_Library'!K54))/365,0))-'Hist_Financials'!D28 ))-('Hist_Financials'!D36*(1-'Scenario_Library'!P54))-('Hist_Financials'!D37*(1-'Scenario_Library'!Q54))-('Hist_Financials'!D38*(1-'Scenario_Library'!R54))-('Hist_Financials'!D27*(1-'Scenario_Library'!M54))-('Hist_Financials'!D30*'Scenario_Library'!N54*(1-'Scenario_Library'!O54)))) )/MAX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,0.01),99))&lt;3,(IFERROR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/MAX(((MAX(0,IFERROR('Hist_Financials'!D14/MAX('Hist_Financials'!D27+'Hist_Financials'!D30,1),0)+'Scenario_Library'!L54/10000))*('Hist_Financials'!D27+'Hist_Financials'!D30)),0.01),999))&gt;='Scenario_Setup'!B12,('Hist_Financials'!D32+(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-(MAX(0,((((('Hist_Financials'!D6*(1+'Scenario_Library'!E54))*(MAX(-0.5,MIN(0.9,IFERROR('Hist_Financials'!D8/'Hist_Financials'!D6,0)+'Scenario_Library'!F54/10000))))-(MAX(0,'Hist_Financials'!D9*(1+'Scenario_Setup'!B9*('Scenario_Library'!E54)+('Scenario_Library'!G54))))-(MAX(0,'Hist_Financials'!D10*(1+'Scenario_Library'!H54))))-'Hist_Financials'!D12)-((MAX(0,IFERROR('Hist_Financials'!D14/MAX('Hist_Financials'!D27+'Hist_Financials'!D30,1),0)+'Scenario_Library'!L54/10000))*('Hist_Financials'!D27+'Hist_Financials'!D30))-('Hist_Financials'!D24*'Scenario_Library'!S54)-('Hist_Financials'!D25*'Scenario_Library'!T54)-('Hist_Financials'!D6*'Scenario_Library'!U54)))*'Scenario_Library'!V54))-('Hist_Financials'!D37*(1-'Scenario_Library'!Q54))-('Hist_Financials'!D38*(1-'Scenario_Library'!R54)))&gt;0),"RESILIENT","WATCH")))</f>
        <v/>
      </c>
    </row>
    <row r="52" ht="17" customHeight="1" s="28">
      <c r="B52" s="223">
        <f>'Scenario_Library'!A55</f>
        <v/>
      </c>
      <c r="C52" s="224" t="inlineStr">
        <is>
          <t>Light</t>
        </is>
      </c>
      <c r="D52" s="225">
        <f>'Hist_Financials'!D6*(1+'Scenario_Library'!E55)</f>
        <v/>
      </c>
      <c r="E52" s="226">
        <f>('Hist_Financials'!D6*(1+'Scenario_Library'!E55))-'Hist_Financials'!D6</f>
        <v/>
      </c>
      <c r="F52" s="227">
        <f>IFERROR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/('Hist_Financials'!D6*(1+'Scenario_Library'!E55)),0)</f>
        <v/>
      </c>
      <c r="G52" s="225">
        <f>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</f>
        <v/>
      </c>
      <c r="H52" s="226">
        <f>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11</f>
        <v/>
      </c>
      <c r="I52" s="225">
        <f>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-(MAX(0,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)*'Scenario_Library'!V55)</f>
        <v/>
      </c>
      <c r="J52" s="225">
        <f>((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-(MAX(0,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)*'Scenario_Library'!V55))+'Hist_Financials'!D12+('Hist_Financials'!D24*'Scenario_Library'!S55)+('Hist_Financials'!D25*'Scenario_Library'!T55)-( (('Hist_Financials'!D6*(1+'Scenario_Library'!E55))*(MAX(0,IFERROR('Hist_Financials'!D21/'Hist_Financials'!D6*365,0)+'Scenario_Library'!I55))/365)-'Hist_Financials'!D21 )-( (IFERROR(('Hist_Financials'!D6*(1+'Scenario_Library'!E55))*(1-(MAX(-0.5,MIN(0.9,IFERROR('Hist_Financials'!D8/'Hist_Financials'!D6,0)+'Scenario_Library'!F55/10000))))*(MAX(0,IFERROR('Hist_Financials'!D22/'Hist_Financials'!D7*365,0)+'Scenario_Library'!J55))/365,0))-'Hist_Financials'!D22 )+( (IFERROR(('Hist_Financials'!D6*(1+'Scenario_Library'!E55))*(1-(MAX(-0.5,MIN(0.9,IFERROR('Hist_Financials'!D8/'Hist_Financials'!D6,0)+'Scenario_Library'!F55/10000))))*(MAX(0,IFERROR('Hist_Financials'!D28/'Hist_Financials'!D7*365,0)+'Scenario_Library'!K55))/365,0))-'Hist_Financials'!D28 ))-('Hist_Financials'!D36*(1-'Scenario_Library'!P55))</f>
        <v/>
      </c>
      <c r="K52" s="225">
        <f>MAX(0,'Hist_Financials'!D20+((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-(MAX(0,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)*'Scenario_Library'!V55))+'Hist_Financials'!D12+('Hist_Financials'!D24*'Scenario_Library'!S55)+('Hist_Financials'!D25*'Scenario_Library'!T55)-( (('Hist_Financials'!D6*(1+'Scenario_Library'!E55))*(MAX(0,IFERROR('Hist_Financials'!D21/'Hist_Financials'!D6*365,0)+'Scenario_Library'!I55))/365)-'Hist_Financials'!D21 )-( (IFERROR(('Hist_Financials'!D6*(1+'Scenario_Library'!E55))*(1-(MAX(-0.5,MIN(0.9,IFERROR('Hist_Financials'!D8/'Hist_Financials'!D6,0)+'Scenario_Library'!F55/10000))))*(MAX(0,IFERROR('Hist_Financials'!D22/'Hist_Financials'!D7*365,0)+'Scenario_Library'!J55))/365,0))-'Hist_Financials'!D22 )+( (IFERROR(('Hist_Financials'!D6*(1+'Scenario_Library'!E55))*(1-(MAX(-0.5,MIN(0.9,IFERROR('Hist_Financials'!D8/'Hist_Financials'!D6,0)+'Scenario_Library'!F55/10000))))*(MAX(0,IFERROR('Hist_Financials'!D28/'Hist_Financials'!D7*365,0)+'Scenario_Library'!K55))/365,0))-'Hist_Financials'!D28 ))-('Hist_Financials'!D36*(1-'Scenario_Library'!P55))-('Hist_Financials'!D37*(1-'Scenario_Library'!Q55))-('Hist_Financials'!D38*(1-'Scenario_Library'!R55))-('Hist_Financials'!D27*(1-'Scenario_Library'!M55))-('Hist_Financials'!D30*'Scenario_Library'!N55*(1-'Scenario_Library'!O55)))</f>
        <v/>
      </c>
      <c r="L52" s="228">
        <f>IF('Hist_Financials'!D6=0,"",IFERROR(( (('Hist_Financials'!D27-('Hist_Financials'!D27*(1-'Scenario_Library'!M55)))+('Hist_Financials'!D30-('Hist_Financials'!D30*'Scenario_Library'!N55*(1-'Scenario_Library'!O55))))-(MAX(0,'Hist_Financials'!D20+((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-(MAX(0,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)*'Scenario_Library'!V55))+'Hist_Financials'!D12+('Hist_Financials'!D24*'Scenario_Library'!S55)+('Hist_Financials'!D25*'Scenario_Library'!T55)-( (('Hist_Financials'!D6*(1+'Scenario_Library'!E55))*(MAX(0,IFERROR('Hist_Financials'!D21/'Hist_Financials'!D6*365,0)+'Scenario_Library'!I55))/365)-'Hist_Financials'!D21 )-( (IFERROR(('Hist_Financials'!D6*(1+'Scenario_Library'!E55))*(1-(MAX(-0.5,MIN(0.9,IFERROR('Hist_Financials'!D8/'Hist_Financials'!D6,0)+'Scenario_Library'!F55/10000))))*(MAX(0,IFERROR('Hist_Financials'!D22/'Hist_Financials'!D7*365,0)+'Scenario_Library'!J55))/365,0))-'Hist_Financials'!D22 )+( (IFERROR(('Hist_Financials'!D6*(1+'Scenario_Library'!E55))*(1-(MAX(-0.5,MIN(0.9,IFERROR('Hist_Financials'!D8/'Hist_Financials'!D6,0)+'Scenario_Library'!F55/10000))))*(MAX(0,IFERROR('Hist_Financials'!D28/'Hist_Financials'!D7*365,0)+'Scenario_Library'!K55))/365,0))-'Hist_Financials'!D28 ))-('Hist_Financials'!D36*(1-'Scenario_Library'!P55))-('Hist_Financials'!D37*(1-'Scenario_Library'!Q55))-('Hist_Financials'!D38*(1-'Scenario_Library'!R55))-('Hist_Financials'!D27*(1-'Scenario_Library'!M55))-('Hist_Financials'!D30*'Scenario_Library'!N55*(1-'Scenario_Library'!O55)))) )/MAX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,0.01),99))</f>
        <v/>
      </c>
      <c r="M52" s="228">
        <f>IF('Hist_Financials'!D6=0,"",IFERROR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/MAX(((MAX(0,IFERROR('Hist_Financials'!D14/MAX('Hist_Financials'!D27+'Hist_Financials'!D30,1),0)+'Scenario_Library'!L55/10000))*('Hist_Financials'!D27+'Hist_Financials'!D30)),0.01),999))</f>
        <v/>
      </c>
      <c r="N52" s="229">
        <f>IF('Hist_Financials'!D6=0,"— NO DATA —",IF(OR((IFERROR(( (('Hist_Financials'!D27-('Hist_Financials'!D27*(1-'Scenario_Library'!M55)))+('Hist_Financials'!D30-('Hist_Financials'!D30*'Scenario_Library'!N55*(1-'Scenario_Library'!O55))))-(MAX(0,'Hist_Financials'!D20+((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-(MAX(0,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)*'Scenario_Library'!V55))+'Hist_Financials'!D12+('Hist_Financials'!D24*'Scenario_Library'!S55)+('Hist_Financials'!D25*'Scenario_Library'!T55)-( (('Hist_Financials'!D6*(1+'Scenario_Library'!E55))*(MAX(0,IFERROR('Hist_Financials'!D21/'Hist_Financials'!D6*365,0)+'Scenario_Library'!I55))/365)-'Hist_Financials'!D21 )-( (IFERROR(('Hist_Financials'!D6*(1+'Scenario_Library'!E55))*(1-(MAX(-0.5,MIN(0.9,IFERROR('Hist_Financials'!D8/'Hist_Financials'!D6,0)+'Scenario_Library'!F55/10000))))*(MAX(0,IFERROR('Hist_Financials'!D22/'Hist_Financials'!D7*365,0)+'Scenario_Library'!J55))/365,0))-'Hist_Financials'!D22 )+( (IFERROR(('Hist_Financials'!D6*(1+'Scenario_Library'!E55))*(1-(MAX(-0.5,MIN(0.9,IFERROR('Hist_Financials'!D8/'Hist_Financials'!D6,0)+'Scenario_Library'!F55/10000))))*(MAX(0,IFERROR('Hist_Financials'!D28/'Hist_Financials'!D7*365,0)+'Scenario_Library'!K55))/365,0))-'Hist_Financials'!D28 ))-('Hist_Financials'!D36*(1-'Scenario_Library'!P55))-('Hist_Financials'!D37*(1-'Scenario_Library'!Q55))-('Hist_Financials'!D38*(1-'Scenario_Library'!R55))-('Hist_Financials'!D27*(1-'Scenario_Library'!M55))-('Hist_Financials'!D30*'Scenario_Library'!N55*(1-'Scenario_Library'!O55)))) )/MAX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,0.01),99))&gt;'Scenario_Setup'!B13,(IFERROR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/MAX(((MAX(0,IFERROR('Hist_Financials'!D14/MAX('Hist_Financials'!D27+'Hist_Financials'!D30,1),0)+'Scenario_Library'!L55/10000))*('Hist_Financials'!D27+'Hist_Financials'!D30)),0.01),999))&lt;'Scenario_Setup'!B12,('Hist_Financials'!D32+(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-(MAX(0,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)*'Scenario_Library'!V55))-('Hist_Financials'!D37*(1-'Scenario_Library'!Q55))-('Hist_Financials'!D38*(1-'Scenario_Library'!R55)))&lt;0,(((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-(MAX(0,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)*'Scenario_Library'!V55))+'Hist_Financials'!D12+('Hist_Financials'!D24*'Scenario_Library'!S55)+('Hist_Financials'!D25*'Scenario_Library'!T55)-( (('Hist_Financials'!D6*(1+'Scenario_Library'!E55))*(MAX(0,IFERROR('Hist_Financials'!D21/'Hist_Financials'!D6*365,0)+'Scenario_Library'!I55))/365)-'Hist_Financials'!D21 )-( (IFERROR(('Hist_Financials'!D6*(1+'Scenario_Library'!E55))*(1-(MAX(-0.5,MIN(0.9,IFERROR('Hist_Financials'!D8/'Hist_Financials'!D6,0)+'Scenario_Library'!F55/10000))))*(MAX(0,IFERROR('Hist_Financials'!D22/'Hist_Financials'!D7*365,0)+'Scenario_Library'!J55))/365,0))-'Hist_Financials'!D22 )+( (IFERROR(('Hist_Financials'!D6*(1+'Scenario_Library'!E55))*(1-(MAX(-0.5,MIN(0.9,IFERROR('Hist_Financials'!D8/'Hist_Financials'!D6,0)+'Scenario_Library'!F55/10000))))*(MAX(0,IFERROR('Hist_Financials'!D28/'Hist_Financials'!D7*365,0)+'Scenario_Library'!K55))/365,0))-'Hist_Financials'!D28 ))-('Hist_Financials'!D36*(1-'Scenario_Library'!P55)))&lt;-0.2*'Hist_Financials'!D6),"CRITICAL",IF(AND((((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-(MAX(0,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)*'Scenario_Library'!V55))+'Hist_Financials'!D12+('Hist_Financials'!D24*'Scenario_Library'!S55)+('Hist_Financials'!D25*'Scenario_Library'!T55)-( (('Hist_Financials'!D6*(1+'Scenario_Library'!E55))*(MAX(0,IFERROR('Hist_Financials'!D21/'Hist_Financials'!D6*365,0)+'Scenario_Library'!I55))/365)-'Hist_Financials'!D21 )-( (IFERROR(('Hist_Financials'!D6*(1+'Scenario_Library'!E55))*(1-(MAX(-0.5,MIN(0.9,IFERROR('Hist_Financials'!D8/'Hist_Financials'!D6,0)+'Scenario_Library'!F55/10000))))*(MAX(0,IFERROR('Hist_Financials'!D22/'Hist_Financials'!D7*365,0)+'Scenario_Library'!J55))/365,0))-'Hist_Financials'!D22 )+( (IFERROR(('Hist_Financials'!D6*(1+'Scenario_Library'!E55))*(1-(MAX(-0.5,MIN(0.9,IFERROR('Hist_Financials'!D8/'Hist_Financials'!D6,0)+'Scenario_Library'!F55/10000))))*(MAX(0,IFERROR('Hist_Financials'!D28/'Hist_Financials'!D7*365,0)+'Scenario_Library'!K55))/365,0))-'Hist_Financials'!D28 ))-('Hist_Financials'!D36*(1-'Scenario_Library'!P55)))&gt;=0,(IFERROR(( (('Hist_Financials'!D27-('Hist_Financials'!D27*(1-'Scenario_Library'!M55)))+('Hist_Financials'!D30-('Hist_Financials'!D30*'Scenario_Library'!N55*(1-'Scenario_Library'!O55))))-(MAX(0,'Hist_Financials'!D20+((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-(MAX(0,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)*'Scenario_Library'!V55))+'Hist_Financials'!D12+('Hist_Financials'!D24*'Scenario_Library'!S55)+('Hist_Financials'!D25*'Scenario_Library'!T55)-( (('Hist_Financials'!D6*(1+'Scenario_Library'!E55))*(MAX(0,IFERROR('Hist_Financials'!D21/'Hist_Financials'!D6*365,0)+'Scenario_Library'!I55))/365)-'Hist_Financials'!D21 )-( (IFERROR(('Hist_Financials'!D6*(1+'Scenario_Library'!E55))*(1-(MAX(-0.5,MIN(0.9,IFERROR('Hist_Financials'!D8/'Hist_Financials'!D6,0)+'Scenario_Library'!F55/10000))))*(MAX(0,IFERROR('Hist_Financials'!D22/'Hist_Financials'!D7*365,0)+'Scenario_Library'!J55))/365,0))-'Hist_Financials'!D22 )+( (IFERROR(('Hist_Financials'!D6*(1+'Scenario_Library'!E55))*(1-(MAX(-0.5,MIN(0.9,IFERROR('Hist_Financials'!D8/'Hist_Financials'!D6,0)+'Scenario_Library'!F55/10000))))*(MAX(0,IFERROR('Hist_Financials'!D28/'Hist_Financials'!D7*365,0)+'Scenario_Library'!K55))/365,0))-'Hist_Financials'!D28 ))-('Hist_Financials'!D36*(1-'Scenario_Library'!P55))-('Hist_Financials'!D37*(1-'Scenario_Library'!Q55))-('Hist_Financials'!D38*(1-'Scenario_Library'!R55))-('Hist_Financials'!D27*(1-'Scenario_Library'!M55))-('Hist_Financials'!D30*'Scenario_Library'!N55*(1-'Scenario_Library'!O55)))) )/MAX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,0.01),99))&lt;3,(IFERROR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/MAX(((MAX(0,IFERROR('Hist_Financials'!D14/MAX('Hist_Financials'!D27+'Hist_Financials'!D30,1),0)+'Scenario_Library'!L55/10000))*('Hist_Financials'!D27+'Hist_Financials'!D30)),0.01),999))&gt;='Scenario_Setup'!B12,('Hist_Financials'!D32+(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-(MAX(0,((((('Hist_Financials'!D6*(1+'Scenario_Library'!E55))*(MAX(-0.5,MIN(0.9,IFERROR('Hist_Financials'!D8/'Hist_Financials'!D6,0)+'Scenario_Library'!F55/10000))))-(MAX(0,'Hist_Financials'!D9*(1+'Scenario_Setup'!B9*('Scenario_Library'!E55)+('Scenario_Library'!G55))))-(MAX(0,'Hist_Financials'!D10*(1+'Scenario_Library'!H55))))-'Hist_Financials'!D12)-((MAX(0,IFERROR('Hist_Financials'!D14/MAX('Hist_Financials'!D27+'Hist_Financials'!D30,1),0)+'Scenario_Library'!L55/10000))*('Hist_Financials'!D27+'Hist_Financials'!D30))-('Hist_Financials'!D24*'Scenario_Library'!S55)-('Hist_Financials'!D25*'Scenario_Library'!T55)-('Hist_Financials'!D6*'Scenario_Library'!U55)))*'Scenario_Library'!V55))-('Hist_Financials'!D37*(1-'Scenario_Library'!Q55))-('Hist_Financials'!D38*(1-'Scenario_Library'!R55)))&gt;0),"RESILIENT","WATCH")))</f>
        <v/>
      </c>
    </row>
    <row r="53" ht="17" customHeight="1" s="28">
      <c r="B53" s="230">
        <f>'Scenario_Library'!A56</f>
        <v/>
      </c>
      <c r="C53" s="231" t="inlineStr">
        <is>
          <t>Base</t>
        </is>
      </c>
      <c r="D53" s="215">
        <f>'Hist_Financials'!D6*(1+'Scenario_Library'!E56)</f>
        <v/>
      </c>
      <c r="E53" s="213">
        <f>('Hist_Financials'!D6*(1+'Scenario_Library'!E56))-'Hist_Financials'!D6</f>
        <v/>
      </c>
      <c r="F53" s="214">
        <f>IFERROR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/('Hist_Financials'!D6*(1+'Scenario_Library'!E56)),0)</f>
        <v/>
      </c>
      <c r="G53" s="215">
        <f>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</f>
        <v/>
      </c>
      <c r="H53" s="213">
        <f>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11</f>
        <v/>
      </c>
      <c r="I53" s="215">
        <f>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-(MAX(0,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)*'Scenario_Library'!V56)</f>
        <v/>
      </c>
      <c r="J53" s="215">
        <f>((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-(MAX(0,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)*'Scenario_Library'!V56))+'Hist_Financials'!D12+('Hist_Financials'!D24*'Scenario_Library'!S56)+('Hist_Financials'!D25*'Scenario_Library'!T56)-( (('Hist_Financials'!D6*(1+'Scenario_Library'!E56))*(MAX(0,IFERROR('Hist_Financials'!D21/'Hist_Financials'!D6*365,0)+'Scenario_Library'!I56))/365)-'Hist_Financials'!D21 )-( (IFERROR(('Hist_Financials'!D6*(1+'Scenario_Library'!E56))*(1-(MAX(-0.5,MIN(0.9,IFERROR('Hist_Financials'!D8/'Hist_Financials'!D6,0)+'Scenario_Library'!F56/10000))))*(MAX(0,IFERROR('Hist_Financials'!D22/'Hist_Financials'!D7*365,0)+'Scenario_Library'!J56))/365,0))-'Hist_Financials'!D22 )+( (IFERROR(('Hist_Financials'!D6*(1+'Scenario_Library'!E56))*(1-(MAX(-0.5,MIN(0.9,IFERROR('Hist_Financials'!D8/'Hist_Financials'!D6,0)+'Scenario_Library'!F56/10000))))*(MAX(0,IFERROR('Hist_Financials'!D28/'Hist_Financials'!D7*365,0)+'Scenario_Library'!K56))/365,0))-'Hist_Financials'!D28 ))-('Hist_Financials'!D36*(1-'Scenario_Library'!P56))</f>
        <v/>
      </c>
      <c r="K53" s="215">
        <f>MAX(0,'Hist_Financials'!D20+((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-(MAX(0,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)*'Scenario_Library'!V56))+'Hist_Financials'!D12+('Hist_Financials'!D24*'Scenario_Library'!S56)+('Hist_Financials'!D25*'Scenario_Library'!T56)-( (('Hist_Financials'!D6*(1+'Scenario_Library'!E56))*(MAX(0,IFERROR('Hist_Financials'!D21/'Hist_Financials'!D6*365,0)+'Scenario_Library'!I56))/365)-'Hist_Financials'!D21 )-( (IFERROR(('Hist_Financials'!D6*(1+'Scenario_Library'!E56))*(1-(MAX(-0.5,MIN(0.9,IFERROR('Hist_Financials'!D8/'Hist_Financials'!D6,0)+'Scenario_Library'!F56/10000))))*(MAX(0,IFERROR('Hist_Financials'!D22/'Hist_Financials'!D7*365,0)+'Scenario_Library'!J56))/365,0))-'Hist_Financials'!D22 )+( (IFERROR(('Hist_Financials'!D6*(1+'Scenario_Library'!E56))*(1-(MAX(-0.5,MIN(0.9,IFERROR('Hist_Financials'!D8/'Hist_Financials'!D6,0)+'Scenario_Library'!F56/10000))))*(MAX(0,IFERROR('Hist_Financials'!D28/'Hist_Financials'!D7*365,0)+'Scenario_Library'!K56))/365,0))-'Hist_Financials'!D28 ))-('Hist_Financials'!D36*(1-'Scenario_Library'!P56))-('Hist_Financials'!D37*(1-'Scenario_Library'!Q56))-('Hist_Financials'!D38*(1-'Scenario_Library'!R56))-('Hist_Financials'!D27*(1-'Scenario_Library'!M56))-('Hist_Financials'!D30*'Scenario_Library'!N56*(1-'Scenario_Library'!O56)))</f>
        <v/>
      </c>
      <c r="L53" s="216">
        <f>IF('Hist_Financials'!D6=0,"",IFERROR(( (('Hist_Financials'!D27-('Hist_Financials'!D27*(1-'Scenario_Library'!M56)))+('Hist_Financials'!D30-('Hist_Financials'!D30*'Scenario_Library'!N56*(1-'Scenario_Library'!O56))))-(MAX(0,'Hist_Financials'!D20+((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-(MAX(0,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)*'Scenario_Library'!V56))+'Hist_Financials'!D12+('Hist_Financials'!D24*'Scenario_Library'!S56)+('Hist_Financials'!D25*'Scenario_Library'!T56)-( (('Hist_Financials'!D6*(1+'Scenario_Library'!E56))*(MAX(0,IFERROR('Hist_Financials'!D21/'Hist_Financials'!D6*365,0)+'Scenario_Library'!I56))/365)-'Hist_Financials'!D21 )-( (IFERROR(('Hist_Financials'!D6*(1+'Scenario_Library'!E56))*(1-(MAX(-0.5,MIN(0.9,IFERROR('Hist_Financials'!D8/'Hist_Financials'!D6,0)+'Scenario_Library'!F56/10000))))*(MAX(0,IFERROR('Hist_Financials'!D22/'Hist_Financials'!D7*365,0)+'Scenario_Library'!J56))/365,0))-'Hist_Financials'!D22 )+( (IFERROR(('Hist_Financials'!D6*(1+'Scenario_Library'!E56))*(1-(MAX(-0.5,MIN(0.9,IFERROR('Hist_Financials'!D8/'Hist_Financials'!D6,0)+'Scenario_Library'!F56/10000))))*(MAX(0,IFERROR('Hist_Financials'!D28/'Hist_Financials'!D7*365,0)+'Scenario_Library'!K56))/365,0))-'Hist_Financials'!D28 ))-('Hist_Financials'!D36*(1-'Scenario_Library'!P56))-('Hist_Financials'!D37*(1-'Scenario_Library'!Q56))-('Hist_Financials'!D38*(1-'Scenario_Library'!R56))-('Hist_Financials'!D27*(1-'Scenario_Library'!M56))-('Hist_Financials'!D30*'Scenario_Library'!N56*(1-'Scenario_Library'!O56)))) )/MAX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,0.01),99))</f>
        <v/>
      </c>
      <c r="M53" s="216">
        <f>IF('Hist_Financials'!D6=0,"",IFERROR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/MAX(((MAX(0,IFERROR('Hist_Financials'!D14/MAX('Hist_Financials'!D27+'Hist_Financials'!D30,1),0)+'Scenario_Library'!L56/10000))*('Hist_Financials'!D27+'Hist_Financials'!D30)),0.01),999))</f>
        <v/>
      </c>
      <c r="N53" s="212">
        <f>IF('Hist_Financials'!D6=0,"— NO DATA —",IF(OR((IFERROR(( (('Hist_Financials'!D27-('Hist_Financials'!D27*(1-'Scenario_Library'!M56)))+('Hist_Financials'!D30-('Hist_Financials'!D30*'Scenario_Library'!N56*(1-'Scenario_Library'!O56))))-(MAX(0,'Hist_Financials'!D20+((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-(MAX(0,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)*'Scenario_Library'!V56))+'Hist_Financials'!D12+('Hist_Financials'!D24*'Scenario_Library'!S56)+('Hist_Financials'!D25*'Scenario_Library'!T56)-( (('Hist_Financials'!D6*(1+'Scenario_Library'!E56))*(MAX(0,IFERROR('Hist_Financials'!D21/'Hist_Financials'!D6*365,0)+'Scenario_Library'!I56))/365)-'Hist_Financials'!D21 )-( (IFERROR(('Hist_Financials'!D6*(1+'Scenario_Library'!E56))*(1-(MAX(-0.5,MIN(0.9,IFERROR('Hist_Financials'!D8/'Hist_Financials'!D6,0)+'Scenario_Library'!F56/10000))))*(MAX(0,IFERROR('Hist_Financials'!D22/'Hist_Financials'!D7*365,0)+'Scenario_Library'!J56))/365,0))-'Hist_Financials'!D22 )+( (IFERROR(('Hist_Financials'!D6*(1+'Scenario_Library'!E56))*(1-(MAX(-0.5,MIN(0.9,IFERROR('Hist_Financials'!D8/'Hist_Financials'!D6,0)+'Scenario_Library'!F56/10000))))*(MAX(0,IFERROR('Hist_Financials'!D28/'Hist_Financials'!D7*365,0)+'Scenario_Library'!K56))/365,0))-'Hist_Financials'!D28 ))-('Hist_Financials'!D36*(1-'Scenario_Library'!P56))-('Hist_Financials'!D37*(1-'Scenario_Library'!Q56))-('Hist_Financials'!D38*(1-'Scenario_Library'!R56))-('Hist_Financials'!D27*(1-'Scenario_Library'!M56))-('Hist_Financials'!D30*'Scenario_Library'!N56*(1-'Scenario_Library'!O56)))) )/MAX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,0.01),99))&gt;'Scenario_Setup'!B13,(IFERROR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/MAX(((MAX(0,IFERROR('Hist_Financials'!D14/MAX('Hist_Financials'!D27+'Hist_Financials'!D30,1),0)+'Scenario_Library'!L56/10000))*('Hist_Financials'!D27+'Hist_Financials'!D30)),0.01),999))&lt;'Scenario_Setup'!B12,('Hist_Financials'!D32+(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-(MAX(0,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)*'Scenario_Library'!V56))-('Hist_Financials'!D37*(1-'Scenario_Library'!Q56))-('Hist_Financials'!D38*(1-'Scenario_Library'!R56)))&lt;0,(((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-(MAX(0,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)*'Scenario_Library'!V56))+'Hist_Financials'!D12+('Hist_Financials'!D24*'Scenario_Library'!S56)+('Hist_Financials'!D25*'Scenario_Library'!T56)-( (('Hist_Financials'!D6*(1+'Scenario_Library'!E56))*(MAX(0,IFERROR('Hist_Financials'!D21/'Hist_Financials'!D6*365,0)+'Scenario_Library'!I56))/365)-'Hist_Financials'!D21 )-( (IFERROR(('Hist_Financials'!D6*(1+'Scenario_Library'!E56))*(1-(MAX(-0.5,MIN(0.9,IFERROR('Hist_Financials'!D8/'Hist_Financials'!D6,0)+'Scenario_Library'!F56/10000))))*(MAX(0,IFERROR('Hist_Financials'!D22/'Hist_Financials'!D7*365,0)+'Scenario_Library'!J56))/365,0))-'Hist_Financials'!D22 )+( (IFERROR(('Hist_Financials'!D6*(1+'Scenario_Library'!E56))*(1-(MAX(-0.5,MIN(0.9,IFERROR('Hist_Financials'!D8/'Hist_Financials'!D6,0)+'Scenario_Library'!F56/10000))))*(MAX(0,IFERROR('Hist_Financials'!D28/'Hist_Financials'!D7*365,0)+'Scenario_Library'!K56))/365,0))-'Hist_Financials'!D28 ))-('Hist_Financials'!D36*(1-'Scenario_Library'!P56)))&lt;-0.2*'Hist_Financials'!D6),"CRITICAL",IF(AND((((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-(MAX(0,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)*'Scenario_Library'!V56))+'Hist_Financials'!D12+('Hist_Financials'!D24*'Scenario_Library'!S56)+('Hist_Financials'!D25*'Scenario_Library'!T56)-( (('Hist_Financials'!D6*(1+'Scenario_Library'!E56))*(MAX(0,IFERROR('Hist_Financials'!D21/'Hist_Financials'!D6*365,0)+'Scenario_Library'!I56))/365)-'Hist_Financials'!D21 )-( (IFERROR(('Hist_Financials'!D6*(1+'Scenario_Library'!E56))*(1-(MAX(-0.5,MIN(0.9,IFERROR('Hist_Financials'!D8/'Hist_Financials'!D6,0)+'Scenario_Library'!F56/10000))))*(MAX(0,IFERROR('Hist_Financials'!D22/'Hist_Financials'!D7*365,0)+'Scenario_Library'!J56))/365,0))-'Hist_Financials'!D22 )+( (IFERROR(('Hist_Financials'!D6*(1+'Scenario_Library'!E56))*(1-(MAX(-0.5,MIN(0.9,IFERROR('Hist_Financials'!D8/'Hist_Financials'!D6,0)+'Scenario_Library'!F56/10000))))*(MAX(0,IFERROR('Hist_Financials'!D28/'Hist_Financials'!D7*365,0)+'Scenario_Library'!K56))/365,0))-'Hist_Financials'!D28 ))-('Hist_Financials'!D36*(1-'Scenario_Library'!P56)))&gt;=0,(IFERROR(( (('Hist_Financials'!D27-('Hist_Financials'!D27*(1-'Scenario_Library'!M56)))+('Hist_Financials'!D30-('Hist_Financials'!D30*'Scenario_Library'!N56*(1-'Scenario_Library'!O56))))-(MAX(0,'Hist_Financials'!D20+((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-(MAX(0,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)*'Scenario_Library'!V56))+'Hist_Financials'!D12+('Hist_Financials'!D24*'Scenario_Library'!S56)+('Hist_Financials'!D25*'Scenario_Library'!T56)-( (('Hist_Financials'!D6*(1+'Scenario_Library'!E56))*(MAX(0,IFERROR('Hist_Financials'!D21/'Hist_Financials'!D6*365,0)+'Scenario_Library'!I56))/365)-'Hist_Financials'!D21 )-( (IFERROR(('Hist_Financials'!D6*(1+'Scenario_Library'!E56))*(1-(MAX(-0.5,MIN(0.9,IFERROR('Hist_Financials'!D8/'Hist_Financials'!D6,0)+'Scenario_Library'!F56/10000))))*(MAX(0,IFERROR('Hist_Financials'!D22/'Hist_Financials'!D7*365,0)+'Scenario_Library'!J56))/365,0))-'Hist_Financials'!D22 )+( (IFERROR(('Hist_Financials'!D6*(1+'Scenario_Library'!E56))*(1-(MAX(-0.5,MIN(0.9,IFERROR('Hist_Financials'!D8/'Hist_Financials'!D6,0)+'Scenario_Library'!F56/10000))))*(MAX(0,IFERROR('Hist_Financials'!D28/'Hist_Financials'!D7*365,0)+'Scenario_Library'!K56))/365,0))-'Hist_Financials'!D28 ))-('Hist_Financials'!D36*(1-'Scenario_Library'!P56))-('Hist_Financials'!D37*(1-'Scenario_Library'!Q56))-('Hist_Financials'!D38*(1-'Scenario_Library'!R56))-('Hist_Financials'!D27*(1-'Scenario_Library'!M56))-('Hist_Financials'!D30*'Scenario_Library'!N56*(1-'Scenario_Library'!O56)))) )/MAX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,0.01),99))&lt;3,(IFERROR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/MAX(((MAX(0,IFERROR('Hist_Financials'!D14/MAX('Hist_Financials'!D27+'Hist_Financials'!D30,1),0)+'Scenario_Library'!L56/10000))*('Hist_Financials'!D27+'Hist_Financials'!D30)),0.01),999))&gt;='Scenario_Setup'!B12,('Hist_Financials'!D32+(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-(MAX(0,((((('Hist_Financials'!D6*(1+'Scenario_Library'!E56))*(MAX(-0.5,MIN(0.9,IFERROR('Hist_Financials'!D8/'Hist_Financials'!D6,0)+'Scenario_Library'!F56/10000))))-(MAX(0,'Hist_Financials'!D9*(1+'Scenario_Setup'!B9*('Scenario_Library'!E56)+('Scenario_Library'!G56))))-(MAX(0,'Hist_Financials'!D10*(1+'Scenario_Library'!H56))))-'Hist_Financials'!D12)-((MAX(0,IFERROR('Hist_Financials'!D14/MAX('Hist_Financials'!D27+'Hist_Financials'!D30,1),0)+'Scenario_Library'!L56/10000))*('Hist_Financials'!D27+'Hist_Financials'!D30))-('Hist_Financials'!D24*'Scenario_Library'!S56)-('Hist_Financials'!D25*'Scenario_Library'!T56)-('Hist_Financials'!D6*'Scenario_Library'!U56)))*'Scenario_Library'!V56))-('Hist_Financials'!D37*(1-'Scenario_Library'!Q56))-('Hist_Financials'!D38*(1-'Scenario_Library'!R56)))&gt;0),"RESILIENT","WATCH")))</f>
        <v/>
      </c>
    </row>
    <row r="54" ht="17" customHeight="1" s="28">
      <c r="B54" s="230">
        <f>'Scenario_Library'!A57</f>
        <v/>
      </c>
      <c r="C54" s="232" t="inlineStr">
        <is>
          <t>Severe</t>
        </is>
      </c>
      <c r="D54" s="221">
        <f>'Hist_Financials'!D6*(1+'Scenario_Library'!E57)</f>
        <v/>
      </c>
      <c r="E54" s="219">
        <f>('Hist_Financials'!D6*(1+'Scenario_Library'!E57))-'Hist_Financials'!D6</f>
        <v/>
      </c>
      <c r="F54" s="220">
        <f>IFERROR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/('Hist_Financials'!D6*(1+'Scenario_Library'!E57)),0)</f>
        <v/>
      </c>
      <c r="G54" s="221">
        <f>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</f>
        <v/>
      </c>
      <c r="H54" s="219">
        <f>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11</f>
        <v/>
      </c>
      <c r="I54" s="221">
        <f>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-(MAX(0,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)*'Scenario_Library'!V57)</f>
        <v/>
      </c>
      <c r="J54" s="221">
        <f>((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-(MAX(0,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)*'Scenario_Library'!V57))+'Hist_Financials'!D12+('Hist_Financials'!D24*'Scenario_Library'!S57)+('Hist_Financials'!D25*'Scenario_Library'!T57)-( (('Hist_Financials'!D6*(1+'Scenario_Library'!E57))*(MAX(0,IFERROR('Hist_Financials'!D21/'Hist_Financials'!D6*365,0)+'Scenario_Library'!I57))/365)-'Hist_Financials'!D21 )-( (IFERROR(('Hist_Financials'!D6*(1+'Scenario_Library'!E57))*(1-(MAX(-0.5,MIN(0.9,IFERROR('Hist_Financials'!D8/'Hist_Financials'!D6,0)+'Scenario_Library'!F57/10000))))*(MAX(0,IFERROR('Hist_Financials'!D22/'Hist_Financials'!D7*365,0)+'Scenario_Library'!J57))/365,0))-'Hist_Financials'!D22 )+( (IFERROR(('Hist_Financials'!D6*(1+'Scenario_Library'!E57))*(1-(MAX(-0.5,MIN(0.9,IFERROR('Hist_Financials'!D8/'Hist_Financials'!D6,0)+'Scenario_Library'!F57/10000))))*(MAX(0,IFERROR('Hist_Financials'!D28/'Hist_Financials'!D7*365,0)+'Scenario_Library'!K57))/365,0))-'Hist_Financials'!D28 ))-('Hist_Financials'!D36*(1-'Scenario_Library'!P57))</f>
        <v/>
      </c>
      <c r="K54" s="221">
        <f>MAX(0,'Hist_Financials'!D20+((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-(MAX(0,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)*'Scenario_Library'!V57))+'Hist_Financials'!D12+('Hist_Financials'!D24*'Scenario_Library'!S57)+('Hist_Financials'!D25*'Scenario_Library'!T57)-( (('Hist_Financials'!D6*(1+'Scenario_Library'!E57))*(MAX(0,IFERROR('Hist_Financials'!D21/'Hist_Financials'!D6*365,0)+'Scenario_Library'!I57))/365)-'Hist_Financials'!D21 )-( (IFERROR(('Hist_Financials'!D6*(1+'Scenario_Library'!E57))*(1-(MAX(-0.5,MIN(0.9,IFERROR('Hist_Financials'!D8/'Hist_Financials'!D6,0)+'Scenario_Library'!F57/10000))))*(MAX(0,IFERROR('Hist_Financials'!D22/'Hist_Financials'!D7*365,0)+'Scenario_Library'!J57))/365,0))-'Hist_Financials'!D22 )+( (IFERROR(('Hist_Financials'!D6*(1+'Scenario_Library'!E57))*(1-(MAX(-0.5,MIN(0.9,IFERROR('Hist_Financials'!D8/'Hist_Financials'!D6,0)+'Scenario_Library'!F57/10000))))*(MAX(0,IFERROR('Hist_Financials'!D28/'Hist_Financials'!D7*365,0)+'Scenario_Library'!K57))/365,0))-'Hist_Financials'!D28 ))-('Hist_Financials'!D36*(1-'Scenario_Library'!P57))-('Hist_Financials'!D37*(1-'Scenario_Library'!Q57))-('Hist_Financials'!D38*(1-'Scenario_Library'!R57))-('Hist_Financials'!D27*(1-'Scenario_Library'!M57))-('Hist_Financials'!D30*'Scenario_Library'!N57*(1-'Scenario_Library'!O57)))</f>
        <v/>
      </c>
      <c r="L54" s="222">
        <f>IF('Hist_Financials'!D6=0,"",IFERROR(( (('Hist_Financials'!D27-('Hist_Financials'!D27*(1-'Scenario_Library'!M57)))+('Hist_Financials'!D30-('Hist_Financials'!D30*'Scenario_Library'!N57*(1-'Scenario_Library'!O57))))-(MAX(0,'Hist_Financials'!D20+((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-(MAX(0,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)*'Scenario_Library'!V57))+'Hist_Financials'!D12+('Hist_Financials'!D24*'Scenario_Library'!S57)+('Hist_Financials'!D25*'Scenario_Library'!T57)-( (('Hist_Financials'!D6*(1+'Scenario_Library'!E57))*(MAX(0,IFERROR('Hist_Financials'!D21/'Hist_Financials'!D6*365,0)+'Scenario_Library'!I57))/365)-'Hist_Financials'!D21 )-( (IFERROR(('Hist_Financials'!D6*(1+'Scenario_Library'!E57))*(1-(MAX(-0.5,MIN(0.9,IFERROR('Hist_Financials'!D8/'Hist_Financials'!D6,0)+'Scenario_Library'!F57/10000))))*(MAX(0,IFERROR('Hist_Financials'!D22/'Hist_Financials'!D7*365,0)+'Scenario_Library'!J57))/365,0))-'Hist_Financials'!D22 )+( (IFERROR(('Hist_Financials'!D6*(1+'Scenario_Library'!E57))*(1-(MAX(-0.5,MIN(0.9,IFERROR('Hist_Financials'!D8/'Hist_Financials'!D6,0)+'Scenario_Library'!F57/10000))))*(MAX(0,IFERROR('Hist_Financials'!D28/'Hist_Financials'!D7*365,0)+'Scenario_Library'!K57))/365,0))-'Hist_Financials'!D28 ))-('Hist_Financials'!D36*(1-'Scenario_Library'!P57))-('Hist_Financials'!D37*(1-'Scenario_Library'!Q57))-('Hist_Financials'!D38*(1-'Scenario_Library'!R57))-('Hist_Financials'!D27*(1-'Scenario_Library'!M57))-('Hist_Financials'!D30*'Scenario_Library'!N57*(1-'Scenario_Library'!O57)))) )/MAX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,0.01),99))</f>
        <v/>
      </c>
      <c r="M54" s="222">
        <f>IF('Hist_Financials'!D6=0,"",IFERROR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/MAX(((MAX(0,IFERROR('Hist_Financials'!D14/MAX('Hist_Financials'!D27+'Hist_Financials'!D30,1),0)+'Scenario_Library'!L57/10000))*('Hist_Financials'!D27+'Hist_Financials'!D30)),0.01),999))</f>
        <v/>
      </c>
      <c r="N54" s="218">
        <f>IF('Hist_Financials'!D6=0,"— NO DATA —",IF(OR((IFERROR(( (('Hist_Financials'!D27-('Hist_Financials'!D27*(1-'Scenario_Library'!M57)))+('Hist_Financials'!D30-('Hist_Financials'!D30*'Scenario_Library'!N57*(1-'Scenario_Library'!O57))))-(MAX(0,'Hist_Financials'!D20+((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-(MAX(0,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)*'Scenario_Library'!V57))+'Hist_Financials'!D12+('Hist_Financials'!D24*'Scenario_Library'!S57)+('Hist_Financials'!D25*'Scenario_Library'!T57)-( (('Hist_Financials'!D6*(1+'Scenario_Library'!E57))*(MAX(0,IFERROR('Hist_Financials'!D21/'Hist_Financials'!D6*365,0)+'Scenario_Library'!I57))/365)-'Hist_Financials'!D21 )-( (IFERROR(('Hist_Financials'!D6*(1+'Scenario_Library'!E57))*(1-(MAX(-0.5,MIN(0.9,IFERROR('Hist_Financials'!D8/'Hist_Financials'!D6,0)+'Scenario_Library'!F57/10000))))*(MAX(0,IFERROR('Hist_Financials'!D22/'Hist_Financials'!D7*365,0)+'Scenario_Library'!J57))/365,0))-'Hist_Financials'!D22 )+( (IFERROR(('Hist_Financials'!D6*(1+'Scenario_Library'!E57))*(1-(MAX(-0.5,MIN(0.9,IFERROR('Hist_Financials'!D8/'Hist_Financials'!D6,0)+'Scenario_Library'!F57/10000))))*(MAX(0,IFERROR('Hist_Financials'!D28/'Hist_Financials'!D7*365,0)+'Scenario_Library'!K57))/365,0))-'Hist_Financials'!D28 ))-('Hist_Financials'!D36*(1-'Scenario_Library'!P57))-('Hist_Financials'!D37*(1-'Scenario_Library'!Q57))-('Hist_Financials'!D38*(1-'Scenario_Library'!R57))-('Hist_Financials'!D27*(1-'Scenario_Library'!M57))-('Hist_Financials'!D30*'Scenario_Library'!N57*(1-'Scenario_Library'!O57)))) )/MAX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,0.01),99))&gt;'Scenario_Setup'!B13,(IFERROR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/MAX(((MAX(0,IFERROR('Hist_Financials'!D14/MAX('Hist_Financials'!D27+'Hist_Financials'!D30,1),0)+'Scenario_Library'!L57/10000))*('Hist_Financials'!D27+'Hist_Financials'!D30)),0.01),999))&lt;'Scenario_Setup'!B12,('Hist_Financials'!D32+(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-(MAX(0,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)*'Scenario_Library'!V57))-('Hist_Financials'!D37*(1-'Scenario_Library'!Q57))-('Hist_Financials'!D38*(1-'Scenario_Library'!R57)))&lt;0,(((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-(MAX(0,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)*'Scenario_Library'!V57))+'Hist_Financials'!D12+('Hist_Financials'!D24*'Scenario_Library'!S57)+('Hist_Financials'!D25*'Scenario_Library'!T57)-( (('Hist_Financials'!D6*(1+'Scenario_Library'!E57))*(MAX(0,IFERROR('Hist_Financials'!D21/'Hist_Financials'!D6*365,0)+'Scenario_Library'!I57))/365)-'Hist_Financials'!D21 )-( (IFERROR(('Hist_Financials'!D6*(1+'Scenario_Library'!E57))*(1-(MAX(-0.5,MIN(0.9,IFERROR('Hist_Financials'!D8/'Hist_Financials'!D6,0)+'Scenario_Library'!F57/10000))))*(MAX(0,IFERROR('Hist_Financials'!D22/'Hist_Financials'!D7*365,0)+'Scenario_Library'!J57))/365,0))-'Hist_Financials'!D22 )+( (IFERROR(('Hist_Financials'!D6*(1+'Scenario_Library'!E57))*(1-(MAX(-0.5,MIN(0.9,IFERROR('Hist_Financials'!D8/'Hist_Financials'!D6,0)+'Scenario_Library'!F57/10000))))*(MAX(0,IFERROR('Hist_Financials'!D28/'Hist_Financials'!D7*365,0)+'Scenario_Library'!K57))/365,0))-'Hist_Financials'!D28 ))-('Hist_Financials'!D36*(1-'Scenario_Library'!P57)))&lt;-0.2*'Hist_Financials'!D6),"CRITICAL",IF(AND((((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-(MAX(0,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)*'Scenario_Library'!V57))+'Hist_Financials'!D12+('Hist_Financials'!D24*'Scenario_Library'!S57)+('Hist_Financials'!D25*'Scenario_Library'!T57)-( (('Hist_Financials'!D6*(1+'Scenario_Library'!E57))*(MAX(0,IFERROR('Hist_Financials'!D21/'Hist_Financials'!D6*365,0)+'Scenario_Library'!I57))/365)-'Hist_Financials'!D21 )-( (IFERROR(('Hist_Financials'!D6*(1+'Scenario_Library'!E57))*(1-(MAX(-0.5,MIN(0.9,IFERROR('Hist_Financials'!D8/'Hist_Financials'!D6,0)+'Scenario_Library'!F57/10000))))*(MAX(0,IFERROR('Hist_Financials'!D22/'Hist_Financials'!D7*365,0)+'Scenario_Library'!J57))/365,0))-'Hist_Financials'!D22 )+( (IFERROR(('Hist_Financials'!D6*(1+'Scenario_Library'!E57))*(1-(MAX(-0.5,MIN(0.9,IFERROR('Hist_Financials'!D8/'Hist_Financials'!D6,0)+'Scenario_Library'!F57/10000))))*(MAX(0,IFERROR('Hist_Financials'!D28/'Hist_Financials'!D7*365,0)+'Scenario_Library'!K57))/365,0))-'Hist_Financials'!D28 ))-('Hist_Financials'!D36*(1-'Scenario_Library'!P57)))&gt;=0,(IFERROR(( (('Hist_Financials'!D27-('Hist_Financials'!D27*(1-'Scenario_Library'!M57)))+('Hist_Financials'!D30-('Hist_Financials'!D30*'Scenario_Library'!N57*(1-'Scenario_Library'!O57))))-(MAX(0,'Hist_Financials'!D20+((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-(MAX(0,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)*'Scenario_Library'!V57))+'Hist_Financials'!D12+('Hist_Financials'!D24*'Scenario_Library'!S57)+('Hist_Financials'!D25*'Scenario_Library'!T57)-( (('Hist_Financials'!D6*(1+'Scenario_Library'!E57))*(MAX(0,IFERROR('Hist_Financials'!D21/'Hist_Financials'!D6*365,0)+'Scenario_Library'!I57))/365)-'Hist_Financials'!D21 )-( (IFERROR(('Hist_Financials'!D6*(1+'Scenario_Library'!E57))*(1-(MAX(-0.5,MIN(0.9,IFERROR('Hist_Financials'!D8/'Hist_Financials'!D6,0)+'Scenario_Library'!F57/10000))))*(MAX(0,IFERROR('Hist_Financials'!D22/'Hist_Financials'!D7*365,0)+'Scenario_Library'!J57))/365,0))-'Hist_Financials'!D22 )+( (IFERROR(('Hist_Financials'!D6*(1+'Scenario_Library'!E57))*(1-(MAX(-0.5,MIN(0.9,IFERROR('Hist_Financials'!D8/'Hist_Financials'!D6,0)+'Scenario_Library'!F57/10000))))*(MAX(0,IFERROR('Hist_Financials'!D28/'Hist_Financials'!D7*365,0)+'Scenario_Library'!K57))/365,0))-'Hist_Financials'!D28 ))-('Hist_Financials'!D36*(1-'Scenario_Library'!P57))-('Hist_Financials'!D37*(1-'Scenario_Library'!Q57))-('Hist_Financials'!D38*(1-'Scenario_Library'!R57))-('Hist_Financials'!D27*(1-'Scenario_Library'!M57))-('Hist_Financials'!D30*'Scenario_Library'!N57*(1-'Scenario_Library'!O57)))) )/MAX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,0.01),99))&lt;3,(IFERROR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/MAX(((MAX(0,IFERROR('Hist_Financials'!D14/MAX('Hist_Financials'!D27+'Hist_Financials'!D30,1),0)+'Scenario_Library'!L57/10000))*('Hist_Financials'!D27+'Hist_Financials'!D30)),0.01),999))&gt;='Scenario_Setup'!B12,('Hist_Financials'!D32+(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-(MAX(0,((((('Hist_Financials'!D6*(1+'Scenario_Library'!E57))*(MAX(-0.5,MIN(0.9,IFERROR('Hist_Financials'!D8/'Hist_Financials'!D6,0)+'Scenario_Library'!F57/10000))))-(MAX(0,'Hist_Financials'!D9*(1+'Scenario_Setup'!B9*('Scenario_Library'!E57)+('Scenario_Library'!G57))))-(MAX(0,'Hist_Financials'!D10*(1+'Scenario_Library'!H57))))-'Hist_Financials'!D12)-((MAX(0,IFERROR('Hist_Financials'!D14/MAX('Hist_Financials'!D27+'Hist_Financials'!D30,1),0)+'Scenario_Library'!L57/10000))*('Hist_Financials'!D27+'Hist_Financials'!D30))-('Hist_Financials'!D24*'Scenario_Library'!S57)-('Hist_Financials'!D25*'Scenario_Library'!T57)-('Hist_Financials'!D6*'Scenario_Library'!U57)))*'Scenario_Library'!V57))-('Hist_Financials'!D37*(1-'Scenario_Library'!Q57))-('Hist_Financials'!D38*(1-'Scenario_Library'!R57)))&gt;0),"RESILIENT","WATCH")))</f>
        <v/>
      </c>
    </row>
    <row r="55" ht="17" customHeight="1" s="28">
      <c r="B55" s="223">
        <f>'Scenario_Library'!A58</f>
        <v/>
      </c>
      <c r="C55" s="224" t="inlineStr">
        <is>
          <t>Light</t>
        </is>
      </c>
      <c r="D55" s="225">
        <f>'Hist_Financials'!D6*(1+'Scenario_Library'!E58)</f>
        <v/>
      </c>
      <c r="E55" s="226">
        <f>('Hist_Financials'!D6*(1+'Scenario_Library'!E58))-'Hist_Financials'!D6</f>
        <v/>
      </c>
      <c r="F55" s="227">
        <f>IFERROR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/('Hist_Financials'!D6*(1+'Scenario_Library'!E58)),0)</f>
        <v/>
      </c>
      <c r="G55" s="225">
        <f>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</f>
        <v/>
      </c>
      <c r="H55" s="226">
        <f>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11</f>
        <v/>
      </c>
      <c r="I55" s="225">
        <f>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-(MAX(0,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)*'Scenario_Library'!V58)</f>
        <v/>
      </c>
      <c r="J55" s="225">
        <f>((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-(MAX(0,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)*'Scenario_Library'!V58))+'Hist_Financials'!D12+('Hist_Financials'!D24*'Scenario_Library'!S58)+('Hist_Financials'!D25*'Scenario_Library'!T58)-( (('Hist_Financials'!D6*(1+'Scenario_Library'!E58))*(MAX(0,IFERROR('Hist_Financials'!D21/'Hist_Financials'!D6*365,0)+'Scenario_Library'!I58))/365)-'Hist_Financials'!D21 )-( (IFERROR(('Hist_Financials'!D6*(1+'Scenario_Library'!E58))*(1-(MAX(-0.5,MIN(0.9,IFERROR('Hist_Financials'!D8/'Hist_Financials'!D6,0)+'Scenario_Library'!F58/10000))))*(MAX(0,IFERROR('Hist_Financials'!D22/'Hist_Financials'!D7*365,0)+'Scenario_Library'!J58))/365,0))-'Hist_Financials'!D22 )+( (IFERROR(('Hist_Financials'!D6*(1+'Scenario_Library'!E58))*(1-(MAX(-0.5,MIN(0.9,IFERROR('Hist_Financials'!D8/'Hist_Financials'!D6,0)+'Scenario_Library'!F58/10000))))*(MAX(0,IFERROR('Hist_Financials'!D28/'Hist_Financials'!D7*365,0)+'Scenario_Library'!K58))/365,0))-'Hist_Financials'!D28 ))-('Hist_Financials'!D36*(1-'Scenario_Library'!P58))</f>
        <v/>
      </c>
      <c r="K55" s="225">
        <f>MAX(0,'Hist_Financials'!D20+((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-(MAX(0,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)*'Scenario_Library'!V58))+'Hist_Financials'!D12+('Hist_Financials'!D24*'Scenario_Library'!S58)+('Hist_Financials'!D25*'Scenario_Library'!T58)-( (('Hist_Financials'!D6*(1+'Scenario_Library'!E58))*(MAX(0,IFERROR('Hist_Financials'!D21/'Hist_Financials'!D6*365,0)+'Scenario_Library'!I58))/365)-'Hist_Financials'!D21 )-( (IFERROR(('Hist_Financials'!D6*(1+'Scenario_Library'!E58))*(1-(MAX(-0.5,MIN(0.9,IFERROR('Hist_Financials'!D8/'Hist_Financials'!D6,0)+'Scenario_Library'!F58/10000))))*(MAX(0,IFERROR('Hist_Financials'!D22/'Hist_Financials'!D7*365,0)+'Scenario_Library'!J58))/365,0))-'Hist_Financials'!D22 )+( (IFERROR(('Hist_Financials'!D6*(1+'Scenario_Library'!E58))*(1-(MAX(-0.5,MIN(0.9,IFERROR('Hist_Financials'!D8/'Hist_Financials'!D6,0)+'Scenario_Library'!F58/10000))))*(MAX(0,IFERROR('Hist_Financials'!D28/'Hist_Financials'!D7*365,0)+'Scenario_Library'!K58))/365,0))-'Hist_Financials'!D28 ))-('Hist_Financials'!D36*(1-'Scenario_Library'!P58))-('Hist_Financials'!D37*(1-'Scenario_Library'!Q58))-('Hist_Financials'!D38*(1-'Scenario_Library'!R58))-('Hist_Financials'!D27*(1-'Scenario_Library'!M58))-('Hist_Financials'!D30*'Scenario_Library'!N58*(1-'Scenario_Library'!O58)))</f>
        <v/>
      </c>
      <c r="L55" s="228">
        <f>IF('Hist_Financials'!D6=0,"",IFERROR(( (('Hist_Financials'!D27-('Hist_Financials'!D27*(1-'Scenario_Library'!M58)))+('Hist_Financials'!D30-('Hist_Financials'!D30*'Scenario_Library'!N58*(1-'Scenario_Library'!O58))))-(MAX(0,'Hist_Financials'!D20+((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-(MAX(0,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)*'Scenario_Library'!V58))+'Hist_Financials'!D12+('Hist_Financials'!D24*'Scenario_Library'!S58)+('Hist_Financials'!D25*'Scenario_Library'!T58)-( (('Hist_Financials'!D6*(1+'Scenario_Library'!E58))*(MAX(0,IFERROR('Hist_Financials'!D21/'Hist_Financials'!D6*365,0)+'Scenario_Library'!I58))/365)-'Hist_Financials'!D21 )-( (IFERROR(('Hist_Financials'!D6*(1+'Scenario_Library'!E58))*(1-(MAX(-0.5,MIN(0.9,IFERROR('Hist_Financials'!D8/'Hist_Financials'!D6,0)+'Scenario_Library'!F58/10000))))*(MAX(0,IFERROR('Hist_Financials'!D22/'Hist_Financials'!D7*365,0)+'Scenario_Library'!J58))/365,0))-'Hist_Financials'!D22 )+( (IFERROR(('Hist_Financials'!D6*(1+'Scenario_Library'!E58))*(1-(MAX(-0.5,MIN(0.9,IFERROR('Hist_Financials'!D8/'Hist_Financials'!D6,0)+'Scenario_Library'!F58/10000))))*(MAX(0,IFERROR('Hist_Financials'!D28/'Hist_Financials'!D7*365,0)+'Scenario_Library'!K58))/365,0))-'Hist_Financials'!D28 ))-('Hist_Financials'!D36*(1-'Scenario_Library'!P58))-('Hist_Financials'!D37*(1-'Scenario_Library'!Q58))-('Hist_Financials'!D38*(1-'Scenario_Library'!R58))-('Hist_Financials'!D27*(1-'Scenario_Library'!M58))-('Hist_Financials'!D30*'Scenario_Library'!N58*(1-'Scenario_Library'!O58)))) )/MAX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,0.01),99))</f>
        <v/>
      </c>
      <c r="M55" s="228">
        <f>IF('Hist_Financials'!D6=0,"",IFERROR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/MAX(((MAX(0,IFERROR('Hist_Financials'!D14/MAX('Hist_Financials'!D27+'Hist_Financials'!D30,1),0)+'Scenario_Library'!L58/10000))*('Hist_Financials'!D27+'Hist_Financials'!D30)),0.01),999))</f>
        <v/>
      </c>
      <c r="N55" s="229">
        <f>IF('Hist_Financials'!D6=0,"— NO DATA —",IF(OR((IFERROR(( (('Hist_Financials'!D27-('Hist_Financials'!D27*(1-'Scenario_Library'!M58)))+('Hist_Financials'!D30-('Hist_Financials'!D30*'Scenario_Library'!N58*(1-'Scenario_Library'!O58))))-(MAX(0,'Hist_Financials'!D20+((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-(MAX(0,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)*'Scenario_Library'!V58))+'Hist_Financials'!D12+('Hist_Financials'!D24*'Scenario_Library'!S58)+('Hist_Financials'!D25*'Scenario_Library'!T58)-( (('Hist_Financials'!D6*(1+'Scenario_Library'!E58))*(MAX(0,IFERROR('Hist_Financials'!D21/'Hist_Financials'!D6*365,0)+'Scenario_Library'!I58))/365)-'Hist_Financials'!D21 )-( (IFERROR(('Hist_Financials'!D6*(1+'Scenario_Library'!E58))*(1-(MAX(-0.5,MIN(0.9,IFERROR('Hist_Financials'!D8/'Hist_Financials'!D6,0)+'Scenario_Library'!F58/10000))))*(MAX(0,IFERROR('Hist_Financials'!D22/'Hist_Financials'!D7*365,0)+'Scenario_Library'!J58))/365,0))-'Hist_Financials'!D22 )+( (IFERROR(('Hist_Financials'!D6*(1+'Scenario_Library'!E58))*(1-(MAX(-0.5,MIN(0.9,IFERROR('Hist_Financials'!D8/'Hist_Financials'!D6,0)+'Scenario_Library'!F58/10000))))*(MAX(0,IFERROR('Hist_Financials'!D28/'Hist_Financials'!D7*365,0)+'Scenario_Library'!K58))/365,0))-'Hist_Financials'!D28 ))-('Hist_Financials'!D36*(1-'Scenario_Library'!P58))-('Hist_Financials'!D37*(1-'Scenario_Library'!Q58))-('Hist_Financials'!D38*(1-'Scenario_Library'!R58))-('Hist_Financials'!D27*(1-'Scenario_Library'!M58))-('Hist_Financials'!D30*'Scenario_Library'!N58*(1-'Scenario_Library'!O58)))) )/MAX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,0.01),99))&gt;'Scenario_Setup'!B13,(IFERROR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/MAX(((MAX(0,IFERROR('Hist_Financials'!D14/MAX('Hist_Financials'!D27+'Hist_Financials'!D30,1),0)+'Scenario_Library'!L58/10000))*('Hist_Financials'!D27+'Hist_Financials'!D30)),0.01),999))&lt;'Scenario_Setup'!B12,('Hist_Financials'!D32+(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-(MAX(0,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)*'Scenario_Library'!V58))-('Hist_Financials'!D37*(1-'Scenario_Library'!Q58))-('Hist_Financials'!D38*(1-'Scenario_Library'!R58)))&lt;0,(((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-(MAX(0,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)*'Scenario_Library'!V58))+'Hist_Financials'!D12+('Hist_Financials'!D24*'Scenario_Library'!S58)+('Hist_Financials'!D25*'Scenario_Library'!T58)-( (('Hist_Financials'!D6*(1+'Scenario_Library'!E58))*(MAX(0,IFERROR('Hist_Financials'!D21/'Hist_Financials'!D6*365,0)+'Scenario_Library'!I58))/365)-'Hist_Financials'!D21 )-( (IFERROR(('Hist_Financials'!D6*(1+'Scenario_Library'!E58))*(1-(MAX(-0.5,MIN(0.9,IFERROR('Hist_Financials'!D8/'Hist_Financials'!D6,0)+'Scenario_Library'!F58/10000))))*(MAX(0,IFERROR('Hist_Financials'!D22/'Hist_Financials'!D7*365,0)+'Scenario_Library'!J58))/365,0))-'Hist_Financials'!D22 )+( (IFERROR(('Hist_Financials'!D6*(1+'Scenario_Library'!E58))*(1-(MAX(-0.5,MIN(0.9,IFERROR('Hist_Financials'!D8/'Hist_Financials'!D6,0)+'Scenario_Library'!F58/10000))))*(MAX(0,IFERROR('Hist_Financials'!D28/'Hist_Financials'!D7*365,0)+'Scenario_Library'!K58))/365,0))-'Hist_Financials'!D28 ))-('Hist_Financials'!D36*(1-'Scenario_Library'!P58)))&lt;-0.2*'Hist_Financials'!D6),"CRITICAL",IF(AND((((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-(MAX(0,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)*'Scenario_Library'!V58))+'Hist_Financials'!D12+('Hist_Financials'!D24*'Scenario_Library'!S58)+('Hist_Financials'!D25*'Scenario_Library'!T58)-( (('Hist_Financials'!D6*(1+'Scenario_Library'!E58))*(MAX(0,IFERROR('Hist_Financials'!D21/'Hist_Financials'!D6*365,0)+'Scenario_Library'!I58))/365)-'Hist_Financials'!D21 )-( (IFERROR(('Hist_Financials'!D6*(1+'Scenario_Library'!E58))*(1-(MAX(-0.5,MIN(0.9,IFERROR('Hist_Financials'!D8/'Hist_Financials'!D6,0)+'Scenario_Library'!F58/10000))))*(MAX(0,IFERROR('Hist_Financials'!D22/'Hist_Financials'!D7*365,0)+'Scenario_Library'!J58))/365,0))-'Hist_Financials'!D22 )+( (IFERROR(('Hist_Financials'!D6*(1+'Scenario_Library'!E58))*(1-(MAX(-0.5,MIN(0.9,IFERROR('Hist_Financials'!D8/'Hist_Financials'!D6,0)+'Scenario_Library'!F58/10000))))*(MAX(0,IFERROR('Hist_Financials'!D28/'Hist_Financials'!D7*365,0)+'Scenario_Library'!K58))/365,0))-'Hist_Financials'!D28 ))-('Hist_Financials'!D36*(1-'Scenario_Library'!P58)))&gt;=0,(IFERROR(( (('Hist_Financials'!D27-('Hist_Financials'!D27*(1-'Scenario_Library'!M58)))+('Hist_Financials'!D30-('Hist_Financials'!D30*'Scenario_Library'!N58*(1-'Scenario_Library'!O58))))-(MAX(0,'Hist_Financials'!D20+((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-(MAX(0,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)*'Scenario_Library'!V58))+'Hist_Financials'!D12+('Hist_Financials'!D24*'Scenario_Library'!S58)+('Hist_Financials'!D25*'Scenario_Library'!T58)-( (('Hist_Financials'!D6*(1+'Scenario_Library'!E58))*(MAX(0,IFERROR('Hist_Financials'!D21/'Hist_Financials'!D6*365,0)+'Scenario_Library'!I58))/365)-'Hist_Financials'!D21 )-( (IFERROR(('Hist_Financials'!D6*(1+'Scenario_Library'!E58))*(1-(MAX(-0.5,MIN(0.9,IFERROR('Hist_Financials'!D8/'Hist_Financials'!D6,0)+'Scenario_Library'!F58/10000))))*(MAX(0,IFERROR('Hist_Financials'!D22/'Hist_Financials'!D7*365,0)+'Scenario_Library'!J58))/365,0))-'Hist_Financials'!D22 )+( (IFERROR(('Hist_Financials'!D6*(1+'Scenario_Library'!E58))*(1-(MAX(-0.5,MIN(0.9,IFERROR('Hist_Financials'!D8/'Hist_Financials'!D6,0)+'Scenario_Library'!F58/10000))))*(MAX(0,IFERROR('Hist_Financials'!D28/'Hist_Financials'!D7*365,0)+'Scenario_Library'!K58))/365,0))-'Hist_Financials'!D28 ))-('Hist_Financials'!D36*(1-'Scenario_Library'!P58))-('Hist_Financials'!D37*(1-'Scenario_Library'!Q58))-('Hist_Financials'!D38*(1-'Scenario_Library'!R58))-('Hist_Financials'!D27*(1-'Scenario_Library'!M58))-('Hist_Financials'!D30*'Scenario_Library'!N58*(1-'Scenario_Library'!O58)))) )/MAX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,0.01),99))&lt;3,(IFERROR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/MAX(((MAX(0,IFERROR('Hist_Financials'!D14/MAX('Hist_Financials'!D27+'Hist_Financials'!D30,1),0)+'Scenario_Library'!L58/10000))*('Hist_Financials'!D27+'Hist_Financials'!D30)),0.01),999))&gt;='Scenario_Setup'!B12,('Hist_Financials'!D32+(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-(MAX(0,((((('Hist_Financials'!D6*(1+'Scenario_Library'!E58))*(MAX(-0.5,MIN(0.9,IFERROR('Hist_Financials'!D8/'Hist_Financials'!D6,0)+'Scenario_Library'!F58/10000))))-(MAX(0,'Hist_Financials'!D9*(1+'Scenario_Setup'!B9*('Scenario_Library'!E58)+('Scenario_Library'!G58))))-(MAX(0,'Hist_Financials'!D10*(1+'Scenario_Library'!H58))))-'Hist_Financials'!D12)-((MAX(0,IFERROR('Hist_Financials'!D14/MAX('Hist_Financials'!D27+'Hist_Financials'!D30,1),0)+'Scenario_Library'!L58/10000))*('Hist_Financials'!D27+'Hist_Financials'!D30))-('Hist_Financials'!D24*'Scenario_Library'!S58)-('Hist_Financials'!D25*'Scenario_Library'!T58)-('Hist_Financials'!D6*'Scenario_Library'!U58)))*'Scenario_Library'!V58))-('Hist_Financials'!D37*(1-'Scenario_Library'!Q58))-('Hist_Financials'!D38*(1-'Scenario_Library'!R58)))&gt;0),"RESILIENT","WATCH")))</f>
        <v/>
      </c>
    </row>
    <row r="56" ht="17" customHeight="1" s="28">
      <c r="B56" s="230">
        <f>'Scenario_Library'!A59</f>
        <v/>
      </c>
      <c r="C56" s="231" t="inlineStr">
        <is>
          <t>Base</t>
        </is>
      </c>
      <c r="D56" s="215">
        <f>'Hist_Financials'!D6*(1+'Scenario_Library'!E59)</f>
        <v/>
      </c>
      <c r="E56" s="213">
        <f>('Hist_Financials'!D6*(1+'Scenario_Library'!E59))-'Hist_Financials'!D6</f>
        <v/>
      </c>
      <c r="F56" s="214">
        <f>IFERROR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/('Hist_Financials'!D6*(1+'Scenario_Library'!E59)),0)</f>
        <v/>
      </c>
      <c r="G56" s="215">
        <f>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</f>
        <v/>
      </c>
      <c r="H56" s="213">
        <f>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11</f>
        <v/>
      </c>
      <c r="I56" s="215">
        <f>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-(MAX(0,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)*'Scenario_Library'!V59)</f>
        <v/>
      </c>
      <c r="J56" s="215">
        <f>((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-(MAX(0,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)*'Scenario_Library'!V59))+'Hist_Financials'!D12+('Hist_Financials'!D24*'Scenario_Library'!S59)+('Hist_Financials'!D25*'Scenario_Library'!T59)-( (('Hist_Financials'!D6*(1+'Scenario_Library'!E59))*(MAX(0,IFERROR('Hist_Financials'!D21/'Hist_Financials'!D6*365,0)+'Scenario_Library'!I59))/365)-'Hist_Financials'!D21 )-( (IFERROR(('Hist_Financials'!D6*(1+'Scenario_Library'!E59))*(1-(MAX(-0.5,MIN(0.9,IFERROR('Hist_Financials'!D8/'Hist_Financials'!D6,0)+'Scenario_Library'!F59/10000))))*(MAX(0,IFERROR('Hist_Financials'!D22/'Hist_Financials'!D7*365,0)+'Scenario_Library'!J59))/365,0))-'Hist_Financials'!D22 )+( (IFERROR(('Hist_Financials'!D6*(1+'Scenario_Library'!E59))*(1-(MAX(-0.5,MIN(0.9,IFERROR('Hist_Financials'!D8/'Hist_Financials'!D6,0)+'Scenario_Library'!F59/10000))))*(MAX(0,IFERROR('Hist_Financials'!D28/'Hist_Financials'!D7*365,0)+'Scenario_Library'!K59))/365,0))-'Hist_Financials'!D28 ))-('Hist_Financials'!D36*(1-'Scenario_Library'!P59))</f>
        <v/>
      </c>
      <c r="K56" s="215">
        <f>MAX(0,'Hist_Financials'!D20+((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-(MAX(0,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)*'Scenario_Library'!V59))+'Hist_Financials'!D12+('Hist_Financials'!D24*'Scenario_Library'!S59)+('Hist_Financials'!D25*'Scenario_Library'!T59)-( (('Hist_Financials'!D6*(1+'Scenario_Library'!E59))*(MAX(0,IFERROR('Hist_Financials'!D21/'Hist_Financials'!D6*365,0)+'Scenario_Library'!I59))/365)-'Hist_Financials'!D21 )-( (IFERROR(('Hist_Financials'!D6*(1+'Scenario_Library'!E59))*(1-(MAX(-0.5,MIN(0.9,IFERROR('Hist_Financials'!D8/'Hist_Financials'!D6,0)+'Scenario_Library'!F59/10000))))*(MAX(0,IFERROR('Hist_Financials'!D22/'Hist_Financials'!D7*365,0)+'Scenario_Library'!J59))/365,0))-'Hist_Financials'!D22 )+( (IFERROR(('Hist_Financials'!D6*(1+'Scenario_Library'!E59))*(1-(MAX(-0.5,MIN(0.9,IFERROR('Hist_Financials'!D8/'Hist_Financials'!D6,0)+'Scenario_Library'!F59/10000))))*(MAX(0,IFERROR('Hist_Financials'!D28/'Hist_Financials'!D7*365,0)+'Scenario_Library'!K59))/365,0))-'Hist_Financials'!D28 ))-('Hist_Financials'!D36*(1-'Scenario_Library'!P59))-('Hist_Financials'!D37*(1-'Scenario_Library'!Q59))-('Hist_Financials'!D38*(1-'Scenario_Library'!R59))-('Hist_Financials'!D27*(1-'Scenario_Library'!M59))-('Hist_Financials'!D30*'Scenario_Library'!N59*(1-'Scenario_Library'!O59)))</f>
        <v/>
      </c>
      <c r="L56" s="216">
        <f>IF('Hist_Financials'!D6=0,"",IFERROR(( (('Hist_Financials'!D27-('Hist_Financials'!D27*(1-'Scenario_Library'!M59)))+('Hist_Financials'!D30-('Hist_Financials'!D30*'Scenario_Library'!N59*(1-'Scenario_Library'!O59))))-(MAX(0,'Hist_Financials'!D20+((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-(MAX(0,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)*'Scenario_Library'!V59))+'Hist_Financials'!D12+('Hist_Financials'!D24*'Scenario_Library'!S59)+('Hist_Financials'!D25*'Scenario_Library'!T59)-( (('Hist_Financials'!D6*(1+'Scenario_Library'!E59))*(MAX(0,IFERROR('Hist_Financials'!D21/'Hist_Financials'!D6*365,0)+'Scenario_Library'!I59))/365)-'Hist_Financials'!D21 )-( (IFERROR(('Hist_Financials'!D6*(1+'Scenario_Library'!E59))*(1-(MAX(-0.5,MIN(0.9,IFERROR('Hist_Financials'!D8/'Hist_Financials'!D6,0)+'Scenario_Library'!F59/10000))))*(MAX(0,IFERROR('Hist_Financials'!D22/'Hist_Financials'!D7*365,0)+'Scenario_Library'!J59))/365,0))-'Hist_Financials'!D22 )+( (IFERROR(('Hist_Financials'!D6*(1+'Scenario_Library'!E59))*(1-(MAX(-0.5,MIN(0.9,IFERROR('Hist_Financials'!D8/'Hist_Financials'!D6,0)+'Scenario_Library'!F59/10000))))*(MAX(0,IFERROR('Hist_Financials'!D28/'Hist_Financials'!D7*365,0)+'Scenario_Library'!K59))/365,0))-'Hist_Financials'!D28 ))-('Hist_Financials'!D36*(1-'Scenario_Library'!P59))-('Hist_Financials'!D37*(1-'Scenario_Library'!Q59))-('Hist_Financials'!D38*(1-'Scenario_Library'!R59))-('Hist_Financials'!D27*(1-'Scenario_Library'!M59))-('Hist_Financials'!D30*'Scenario_Library'!N59*(1-'Scenario_Library'!O59)))) )/MAX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,0.01),99))</f>
        <v/>
      </c>
      <c r="M56" s="216">
        <f>IF('Hist_Financials'!D6=0,"",IFERROR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/MAX(((MAX(0,IFERROR('Hist_Financials'!D14/MAX('Hist_Financials'!D27+'Hist_Financials'!D30,1),0)+'Scenario_Library'!L59/10000))*('Hist_Financials'!D27+'Hist_Financials'!D30)),0.01),999))</f>
        <v/>
      </c>
      <c r="N56" s="212">
        <f>IF('Hist_Financials'!D6=0,"— NO DATA —",IF(OR((IFERROR(( (('Hist_Financials'!D27-('Hist_Financials'!D27*(1-'Scenario_Library'!M59)))+('Hist_Financials'!D30-('Hist_Financials'!D30*'Scenario_Library'!N59*(1-'Scenario_Library'!O59))))-(MAX(0,'Hist_Financials'!D20+((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-(MAX(0,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)*'Scenario_Library'!V59))+'Hist_Financials'!D12+('Hist_Financials'!D24*'Scenario_Library'!S59)+('Hist_Financials'!D25*'Scenario_Library'!T59)-( (('Hist_Financials'!D6*(1+'Scenario_Library'!E59))*(MAX(0,IFERROR('Hist_Financials'!D21/'Hist_Financials'!D6*365,0)+'Scenario_Library'!I59))/365)-'Hist_Financials'!D21 )-( (IFERROR(('Hist_Financials'!D6*(1+'Scenario_Library'!E59))*(1-(MAX(-0.5,MIN(0.9,IFERROR('Hist_Financials'!D8/'Hist_Financials'!D6,0)+'Scenario_Library'!F59/10000))))*(MAX(0,IFERROR('Hist_Financials'!D22/'Hist_Financials'!D7*365,0)+'Scenario_Library'!J59))/365,0))-'Hist_Financials'!D22 )+( (IFERROR(('Hist_Financials'!D6*(1+'Scenario_Library'!E59))*(1-(MAX(-0.5,MIN(0.9,IFERROR('Hist_Financials'!D8/'Hist_Financials'!D6,0)+'Scenario_Library'!F59/10000))))*(MAX(0,IFERROR('Hist_Financials'!D28/'Hist_Financials'!D7*365,0)+'Scenario_Library'!K59))/365,0))-'Hist_Financials'!D28 ))-('Hist_Financials'!D36*(1-'Scenario_Library'!P59))-('Hist_Financials'!D37*(1-'Scenario_Library'!Q59))-('Hist_Financials'!D38*(1-'Scenario_Library'!R59))-('Hist_Financials'!D27*(1-'Scenario_Library'!M59))-('Hist_Financials'!D30*'Scenario_Library'!N59*(1-'Scenario_Library'!O59)))) )/MAX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,0.01),99))&gt;'Scenario_Setup'!B13,(IFERROR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/MAX(((MAX(0,IFERROR('Hist_Financials'!D14/MAX('Hist_Financials'!D27+'Hist_Financials'!D30,1),0)+'Scenario_Library'!L59/10000))*('Hist_Financials'!D27+'Hist_Financials'!D30)),0.01),999))&lt;'Scenario_Setup'!B12,('Hist_Financials'!D32+(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-(MAX(0,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)*'Scenario_Library'!V59))-('Hist_Financials'!D37*(1-'Scenario_Library'!Q59))-('Hist_Financials'!D38*(1-'Scenario_Library'!R59)))&lt;0,(((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-(MAX(0,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)*'Scenario_Library'!V59))+'Hist_Financials'!D12+('Hist_Financials'!D24*'Scenario_Library'!S59)+('Hist_Financials'!D25*'Scenario_Library'!T59)-( (('Hist_Financials'!D6*(1+'Scenario_Library'!E59))*(MAX(0,IFERROR('Hist_Financials'!D21/'Hist_Financials'!D6*365,0)+'Scenario_Library'!I59))/365)-'Hist_Financials'!D21 )-( (IFERROR(('Hist_Financials'!D6*(1+'Scenario_Library'!E59))*(1-(MAX(-0.5,MIN(0.9,IFERROR('Hist_Financials'!D8/'Hist_Financials'!D6,0)+'Scenario_Library'!F59/10000))))*(MAX(0,IFERROR('Hist_Financials'!D22/'Hist_Financials'!D7*365,0)+'Scenario_Library'!J59))/365,0))-'Hist_Financials'!D22 )+( (IFERROR(('Hist_Financials'!D6*(1+'Scenario_Library'!E59))*(1-(MAX(-0.5,MIN(0.9,IFERROR('Hist_Financials'!D8/'Hist_Financials'!D6,0)+'Scenario_Library'!F59/10000))))*(MAX(0,IFERROR('Hist_Financials'!D28/'Hist_Financials'!D7*365,0)+'Scenario_Library'!K59))/365,0))-'Hist_Financials'!D28 ))-('Hist_Financials'!D36*(1-'Scenario_Library'!P59)))&lt;-0.2*'Hist_Financials'!D6),"CRITICAL",IF(AND((((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-(MAX(0,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)*'Scenario_Library'!V59))+'Hist_Financials'!D12+('Hist_Financials'!D24*'Scenario_Library'!S59)+('Hist_Financials'!D25*'Scenario_Library'!T59)-( (('Hist_Financials'!D6*(1+'Scenario_Library'!E59))*(MAX(0,IFERROR('Hist_Financials'!D21/'Hist_Financials'!D6*365,0)+'Scenario_Library'!I59))/365)-'Hist_Financials'!D21 )-( (IFERROR(('Hist_Financials'!D6*(1+'Scenario_Library'!E59))*(1-(MAX(-0.5,MIN(0.9,IFERROR('Hist_Financials'!D8/'Hist_Financials'!D6,0)+'Scenario_Library'!F59/10000))))*(MAX(0,IFERROR('Hist_Financials'!D22/'Hist_Financials'!D7*365,0)+'Scenario_Library'!J59))/365,0))-'Hist_Financials'!D22 )+( (IFERROR(('Hist_Financials'!D6*(1+'Scenario_Library'!E59))*(1-(MAX(-0.5,MIN(0.9,IFERROR('Hist_Financials'!D8/'Hist_Financials'!D6,0)+'Scenario_Library'!F59/10000))))*(MAX(0,IFERROR('Hist_Financials'!D28/'Hist_Financials'!D7*365,0)+'Scenario_Library'!K59))/365,0))-'Hist_Financials'!D28 ))-('Hist_Financials'!D36*(1-'Scenario_Library'!P59)))&gt;=0,(IFERROR(( (('Hist_Financials'!D27-('Hist_Financials'!D27*(1-'Scenario_Library'!M59)))+('Hist_Financials'!D30-('Hist_Financials'!D30*'Scenario_Library'!N59*(1-'Scenario_Library'!O59))))-(MAX(0,'Hist_Financials'!D20+((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-(MAX(0,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)*'Scenario_Library'!V59))+'Hist_Financials'!D12+('Hist_Financials'!D24*'Scenario_Library'!S59)+('Hist_Financials'!D25*'Scenario_Library'!T59)-( (('Hist_Financials'!D6*(1+'Scenario_Library'!E59))*(MAX(0,IFERROR('Hist_Financials'!D21/'Hist_Financials'!D6*365,0)+'Scenario_Library'!I59))/365)-'Hist_Financials'!D21 )-( (IFERROR(('Hist_Financials'!D6*(1+'Scenario_Library'!E59))*(1-(MAX(-0.5,MIN(0.9,IFERROR('Hist_Financials'!D8/'Hist_Financials'!D6,0)+'Scenario_Library'!F59/10000))))*(MAX(0,IFERROR('Hist_Financials'!D22/'Hist_Financials'!D7*365,0)+'Scenario_Library'!J59))/365,0))-'Hist_Financials'!D22 )+( (IFERROR(('Hist_Financials'!D6*(1+'Scenario_Library'!E59))*(1-(MAX(-0.5,MIN(0.9,IFERROR('Hist_Financials'!D8/'Hist_Financials'!D6,0)+'Scenario_Library'!F59/10000))))*(MAX(0,IFERROR('Hist_Financials'!D28/'Hist_Financials'!D7*365,0)+'Scenario_Library'!K59))/365,0))-'Hist_Financials'!D28 ))-('Hist_Financials'!D36*(1-'Scenario_Library'!P59))-('Hist_Financials'!D37*(1-'Scenario_Library'!Q59))-('Hist_Financials'!D38*(1-'Scenario_Library'!R59))-('Hist_Financials'!D27*(1-'Scenario_Library'!M59))-('Hist_Financials'!D30*'Scenario_Library'!N59*(1-'Scenario_Library'!O59)))) )/MAX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,0.01),99))&lt;3,(IFERROR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/MAX(((MAX(0,IFERROR('Hist_Financials'!D14/MAX('Hist_Financials'!D27+'Hist_Financials'!D30,1),0)+'Scenario_Library'!L59/10000))*('Hist_Financials'!D27+'Hist_Financials'!D30)),0.01),999))&gt;='Scenario_Setup'!B12,('Hist_Financials'!D32+(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-(MAX(0,((((('Hist_Financials'!D6*(1+'Scenario_Library'!E59))*(MAX(-0.5,MIN(0.9,IFERROR('Hist_Financials'!D8/'Hist_Financials'!D6,0)+'Scenario_Library'!F59/10000))))-(MAX(0,'Hist_Financials'!D9*(1+'Scenario_Setup'!B9*('Scenario_Library'!E59)+('Scenario_Library'!G59))))-(MAX(0,'Hist_Financials'!D10*(1+'Scenario_Library'!H59))))-'Hist_Financials'!D12)-((MAX(0,IFERROR('Hist_Financials'!D14/MAX('Hist_Financials'!D27+'Hist_Financials'!D30,1),0)+'Scenario_Library'!L59/10000))*('Hist_Financials'!D27+'Hist_Financials'!D30))-('Hist_Financials'!D24*'Scenario_Library'!S59)-('Hist_Financials'!D25*'Scenario_Library'!T59)-('Hist_Financials'!D6*'Scenario_Library'!U59)))*'Scenario_Library'!V59))-('Hist_Financials'!D37*(1-'Scenario_Library'!Q59))-('Hist_Financials'!D38*(1-'Scenario_Library'!R59)))&gt;0),"RESILIENT","WATCH")))</f>
        <v/>
      </c>
    </row>
    <row r="57" ht="17" customHeight="1" s="28">
      <c r="B57" s="230">
        <f>'Scenario_Library'!A60</f>
        <v/>
      </c>
      <c r="C57" s="232" t="inlineStr">
        <is>
          <t>Severe</t>
        </is>
      </c>
      <c r="D57" s="221">
        <f>'Hist_Financials'!D6*(1+'Scenario_Library'!E60)</f>
        <v/>
      </c>
      <c r="E57" s="219">
        <f>('Hist_Financials'!D6*(1+'Scenario_Library'!E60))-'Hist_Financials'!D6</f>
        <v/>
      </c>
      <c r="F57" s="220">
        <f>IFERROR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/('Hist_Financials'!D6*(1+'Scenario_Library'!E60)),0)</f>
        <v/>
      </c>
      <c r="G57" s="221">
        <f>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</f>
        <v/>
      </c>
      <c r="H57" s="219">
        <f>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11</f>
        <v/>
      </c>
      <c r="I57" s="221">
        <f>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-(MAX(0,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)*'Scenario_Library'!V60)</f>
        <v/>
      </c>
      <c r="J57" s="221">
        <f>((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-(MAX(0,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)*'Scenario_Library'!V60))+'Hist_Financials'!D12+('Hist_Financials'!D24*'Scenario_Library'!S60)+('Hist_Financials'!D25*'Scenario_Library'!T60)-( (('Hist_Financials'!D6*(1+'Scenario_Library'!E60))*(MAX(0,IFERROR('Hist_Financials'!D21/'Hist_Financials'!D6*365,0)+'Scenario_Library'!I60))/365)-'Hist_Financials'!D21 )-( (IFERROR(('Hist_Financials'!D6*(1+'Scenario_Library'!E60))*(1-(MAX(-0.5,MIN(0.9,IFERROR('Hist_Financials'!D8/'Hist_Financials'!D6,0)+'Scenario_Library'!F60/10000))))*(MAX(0,IFERROR('Hist_Financials'!D22/'Hist_Financials'!D7*365,0)+'Scenario_Library'!J60))/365,0))-'Hist_Financials'!D22 )+( (IFERROR(('Hist_Financials'!D6*(1+'Scenario_Library'!E60))*(1-(MAX(-0.5,MIN(0.9,IFERROR('Hist_Financials'!D8/'Hist_Financials'!D6,0)+'Scenario_Library'!F60/10000))))*(MAX(0,IFERROR('Hist_Financials'!D28/'Hist_Financials'!D7*365,0)+'Scenario_Library'!K60))/365,0))-'Hist_Financials'!D28 ))-('Hist_Financials'!D36*(1-'Scenario_Library'!P60))</f>
        <v/>
      </c>
      <c r="K57" s="221">
        <f>MAX(0,'Hist_Financials'!D20+((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-(MAX(0,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)*'Scenario_Library'!V60))+'Hist_Financials'!D12+('Hist_Financials'!D24*'Scenario_Library'!S60)+('Hist_Financials'!D25*'Scenario_Library'!T60)-( (('Hist_Financials'!D6*(1+'Scenario_Library'!E60))*(MAX(0,IFERROR('Hist_Financials'!D21/'Hist_Financials'!D6*365,0)+'Scenario_Library'!I60))/365)-'Hist_Financials'!D21 )-( (IFERROR(('Hist_Financials'!D6*(1+'Scenario_Library'!E60))*(1-(MAX(-0.5,MIN(0.9,IFERROR('Hist_Financials'!D8/'Hist_Financials'!D6,0)+'Scenario_Library'!F60/10000))))*(MAX(0,IFERROR('Hist_Financials'!D22/'Hist_Financials'!D7*365,0)+'Scenario_Library'!J60))/365,0))-'Hist_Financials'!D22 )+( (IFERROR(('Hist_Financials'!D6*(1+'Scenario_Library'!E60))*(1-(MAX(-0.5,MIN(0.9,IFERROR('Hist_Financials'!D8/'Hist_Financials'!D6,0)+'Scenario_Library'!F60/10000))))*(MAX(0,IFERROR('Hist_Financials'!D28/'Hist_Financials'!D7*365,0)+'Scenario_Library'!K60))/365,0))-'Hist_Financials'!D28 ))-('Hist_Financials'!D36*(1-'Scenario_Library'!P60))-('Hist_Financials'!D37*(1-'Scenario_Library'!Q60))-('Hist_Financials'!D38*(1-'Scenario_Library'!R60))-('Hist_Financials'!D27*(1-'Scenario_Library'!M60))-('Hist_Financials'!D30*'Scenario_Library'!N60*(1-'Scenario_Library'!O60)))</f>
        <v/>
      </c>
      <c r="L57" s="222">
        <f>IF('Hist_Financials'!D6=0,"",IFERROR(( (('Hist_Financials'!D27-('Hist_Financials'!D27*(1-'Scenario_Library'!M60)))+('Hist_Financials'!D30-('Hist_Financials'!D30*'Scenario_Library'!N60*(1-'Scenario_Library'!O60))))-(MAX(0,'Hist_Financials'!D20+((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-(MAX(0,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)*'Scenario_Library'!V60))+'Hist_Financials'!D12+('Hist_Financials'!D24*'Scenario_Library'!S60)+('Hist_Financials'!D25*'Scenario_Library'!T60)-( (('Hist_Financials'!D6*(1+'Scenario_Library'!E60))*(MAX(0,IFERROR('Hist_Financials'!D21/'Hist_Financials'!D6*365,0)+'Scenario_Library'!I60))/365)-'Hist_Financials'!D21 )-( (IFERROR(('Hist_Financials'!D6*(1+'Scenario_Library'!E60))*(1-(MAX(-0.5,MIN(0.9,IFERROR('Hist_Financials'!D8/'Hist_Financials'!D6,0)+'Scenario_Library'!F60/10000))))*(MAX(0,IFERROR('Hist_Financials'!D22/'Hist_Financials'!D7*365,0)+'Scenario_Library'!J60))/365,0))-'Hist_Financials'!D22 )+( (IFERROR(('Hist_Financials'!D6*(1+'Scenario_Library'!E60))*(1-(MAX(-0.5,MIN(0.9,IFERROR('Hist_Financials'!D8/'Hist_Financials'!D6,0)+'Scenario_Library'!F60/10000))))*(MAX(0,IFERROR('Hist_Financials'!D28/'Hist_Financials'!D7*365,0)+'Scenario_Library'!K60))/365,0))-'Hist_Financials'!D28 ))-('Hist_Financials'!D36*(1-'Scenario_Library'!P60))-('Hist_Financials'!D37*(1-'Scenario_Library'!Q60))-('Hist_Financials'!D38*(1-'Scenario_Library'!R60))-('Hist_Financials'!D27*(1-'Scenario_Library'!M60))-('Hist_Financials'!D30*'Scenario_Library'!N60*(1-'Scenario_Library'!O60)))) )/MAX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,0.01),99))</f>
        <v/>
      </c>
      <c r="M57" s="222">
        <f>IF('Hist_Financials'!D6=0,"",IFERROR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/MAX(((MAX(0,IFERROR('Hist_Financials'!D14/MAX('Hist_Financials'!D27+'Hist_Financials'!D30,1),0)+'Scenario_Library'!L60/10000))*('Hist_Financials'!D27+'Hist_Financials'!D30)),0.01),999))</f>
        <v/>
      </c>
      <c r="N57" s="218">
        <f>IF('Hist_Financials'!D6=0,"— NO DATA —",IF(OR((IFERROR(( (('Hist_Financials'!D27-('Hist_Financials'!D27*(1-'Scenario_Library'!M60)))+('Hist_Financials'!D30-('Hist_Financials'!D30*'Scenario_Library'!N60*(1-'Scenario_Library'!O60))))-(MAX(0,'Hist_Financials'!D20+((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-(MAX(0,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)*'Scenario_Library'!V60))+'Hist_Financials'!D12+('Hist_Financials'!D24*'Scenario_Library'!S60)+('Hist_Financials'!D25*'Scenario_Library'!T60)-( (('Hist_Financials'!D6*(1+'Scenario_Library'!E60))*(MAX(0,IFERROR('Hist_Financials'!D21/'Hist_Financials'!D6*365,0)+'Scenario_Library'!I60))/365)-'Hist_Financials'!D21 )-( (IFERROR(('Hist_Financials'!D6*(1+'Scenario_Library'!E60))*(1-(MAX(-0.5,MIN(0.9,IFERROR('Hist_Financials'!D8/'Hist_Financials'!D6,0)+'Scenario_Library'!F60/10000))))*(MAX(0,IFERROR('Hist_Financials'!D22/'Hist_Financials'!D7*365,0)+'Scenario_Library'!J60))/365,0))-'Hist_Financials'!D22 )+( (IFERROR(('Hist_Financials'!D6*(1+'Scenario_Library'!E60))*(1-(MAX(-0.5,MIN(0.9,IFERROR('Hist_Financials'!D8/'Hist_Financials'!D6,0)+'Scenario_Library'!F60/10000))))*(MAX(0,IFERROR('Hist_Financials'!D28/'Hist_Financials'!D7*365,0)+'Scenario_Library'!K60))/365,0))-'Hist_Financials'!D28 ))-('Hist_Financials'!D36*(1-'Scenario_Library'!P60))-('Hist_Financials'!D37*(1-'Scenario_Library'!Q60))-('Hist_Financials'!D38*(1-'Scenario_Library'!R60))-('Hist_Financials'!D27*(1-'Scenario_Library'!M60))-('Hist_Financials'!D30*'Scenario_Library'!N60*(1-'Scenario_Library'!O60)))) )/MAX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,0.01),99))&gt;'Scenario_Setup'!B13,(IFERROR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/MAX(((MAX(0,IFERROR('Hist_Financials'!D14/MAX('Hist_Financials'!D27+'Hist_Financials'!D30,1),0)+'Scenario_Library'!L60/10000))*('Hist_Financials'!D27+'Hist_Financials'!D30)),0.01),999))&lt;'Scenario_Setup'!B12,('Hist_Financials'!D32+(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-(MAX(0,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)*'Scenario_Library'!V60))-('Hist_Financials'!D37*(1-'Scenario_Library'!Q60))-('Hist_Financials'!D38*(1-'Scenario_Library'!R60)))&lt;0,(((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-(MAX(0,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)*'Scenario_Library'!V60))+'Hist_Financials'!D12+('Hist_Financials'!D24*'Scenario_Library'!S60)+('Hist_Financials'!D25*'Scenario_Library'!T60)-( (('Hist_Financials'!D6*(1+'Scenario_Library'!E60))*(MAX(0,IFERROR('Hist_Financials'!D21/'Hist_Financials'!D6*365,0)+'Scenario_Library'!I60))/365)-'Hist_Financials'!D21 )-( (IFERROR(('Hist_Financials'!D6*(1+'Scenario_Library'!E60))*(1-(MAX(-0.5,MIN(0.9,IFERROR('Hist_Financials'!D8/'Hist_Financials'!D6,0)+'Scenario_Library'!F60/10000))))*(MAX(0,IFERROR('Hist_Financials'!D22/'Hist_Financials'!D7*365,0)+'Scenario_Library'!J60))/365,0))-'Hist_Financials'!D22 )+( (IFERROR(('Hist_Financials'!D6*(1+'Scenario_Library'!E60))*(1-(MAX(-0.5,MIN(0.9,IFERROR('Hist_Financials'!D8/'Hist_Financials'!D6,0)+'Scenario_Library'!F60/10000))))*(MAX(0,IFERROR('Hist_Financials'!D28/'Hist_Financials'!D7*365,0)+'Scenario_Library'!K60))/365,0))-'Hist_Financials'!D28 ))-('Hist_Financials'!D36*(1-'Scenario_Library'!P60)))&lt;-0.2*'Hist_Financials'!D6),"CRITICAL",IF(AND((((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-(MAX(0,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)*'Scenario_Library'!V60))+'Hist_Financials'!D12+('Hist_Financials'!D24*'Scenario_Library'!S60)+('Hist_Financials'!D25*'Scenario_Library'!T60)-( (('Hist_Financials'!D6*(1+'Scenario_Library'!E60))*(MAX(0,IFERROR('Hist_Financials'!D21/'Hist_Financials'!D6*365,0)+'Scenario_Library'!I60))/365)-'Hist_Financials'!D21 )-( (IFERROR(('Hist_Financials'!D6*(1+'Scenario_Library'!E60))*(1-(MAX(-0.5,MIN(0.9,IFERROR('Hist_Financials'!D8/'Hist_Financials'!D6,0)+'Scenario_Library'!F60/10000))))*(MAX(0,IFERROR('Hist_Financials'!D22/'Hist_Financials'!D7*365,0)+'Scenario_Library'!J60))/365,0))-'Hist_Financials'!D22 )+( (IFERROR(('Hist_Financials'!D6*(1+'Scenario_Library'!E60))*(1-(MAX(-0.5,MIN(0.9,IFERROR('Hist_Financials'!D8/'Hist_Financials'!D6,0)+'Scenario_Library'!F60/10000))))*(MAX(0,IFERROR('Hist_Financials'!D28/'Hist_Financials'!D7*365,0)+'Scenario_Library'!K60))/365,0))-'Hist_Financials'!D28 ))-('Hist_Financials'!D36*(1-'Scenario_Library'!P60)))&gt;=0,(IFERROR(( (('Hist_Financials'!D27-('Hist_Financials'!D27*(1-'Scenario_Library'!M60)))+('Hist_Financials'!D30-('Hist_Financials'!D30*'Scenario_Library'!N60*(1-'Scenario_Library'!O60))))-(MAX(0,'Hist_Financials'!D20+((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-(MAX(0,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)*'Scenario_Library'!V60))+'Hist_Financials'!D12+('Hist_Financials'!D24*'Scenario_Library'!S60)+('Hist_Financials'!D25*'Scenario_Library'!T60)-( (('Hist_Financials'!D6*(1+'Scenario_Library'!E60))*(MAX(0,IFERROR('Hist_Financials'!D21/'Hist_Financials'!D6*365,0)+'Scenario_Library'!I60))/365)-'Hist_Financials'!D21 )-( (IFERROR(('Hist_Financials'!D6*(1+'Scenario_Library'!E60))*(1-(MAX(-0.5,MIN(0.9,IFERROR('Hist_Financials'!D8/'Hist_Financials'!D6,0)+'Scenario_Library'!F60/10000))))*(MAX(0,IFERROR('Hist_Financials'!D22/'Hist_Financials'!D7*365,0)+'Scenario_Library'!J60))/365,0))-'Hist_Financials'!D22 )+( (IFERROR(('Hist_Financials'!D6*(1+'Scenario_Library'!E60))*(1-(MAX(-0.5,MIN(0.9,IFERROR('Hist_Financials'!D8/'Hist_Financials'!D6,0)+'Scenario_Library'!F60/10000))))*(MAX(0,IFERROR('Hist_Financials'!D28/'Hist_Financials'!D7*365,0)+'Scenario_Library'!K60))/365,0))-'Hist_Financials'!D28 ))-('Hist_Financials'!D36*(1-'Scenario_Library'!P60))-('Hist_Financials'!D37*(1-'Scenario_Library'!Q60))-('Hist_Financials'!D38*(1-'Scenario_Library'!R60))-('Hist_Financials'!D27*(1-'Scenario_Library'!M60))-('Hist_Financials'!D30*'Scenario_Library'!N60*(1-'Scenario_Library'!O60)))) )/MAX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,0.01),99))&lt;3,(IFERROR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/MAX(((MAX(0,IFERROR('Hist_Financials'!D14/MAX('Hist_Financials'!D27+'Hist_Financials'!D30,1),0)+'Scenario_Library'!L60/10000))*('Hist_Financials'!D27+'Hist_Financials'!D30)),0.01),999))&gt;='Scenario_Setup'!B12,('Hist_Financials'!D32+(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-(MAX(0,((((('Hist_Financials'!D6*(1+'Scenario_Library'!E60))*(MAX(-0.5,MIN(0.9,IFERROR('Hist_Financials'!D8/'Hist_Financials'!D6,0)+'Scenario_Library'!F60/10000))))-(MAX(0,'Hist_Financials'!D9*(1+'Scenario_Setup'!B9*('Scenario_Library'!E60)+('Scenario_Library'!G60))))-(MAX(0,'Hist_Financials'!D10*(1+'Scenario_Library'!H60))))-'Hist_Financials'!D12)-((MAX(0,IFERROR('Hist_Financials'!D14/MAX('Hist_Financials'!D27+'Hist_Financials'!D30,1),0)+'Scenario_Library'!L60/10000))*('Hist_Financials'!D27+'Hist_Financials'!D30))-('Hist_Financials'!D24*'Scenario_Library'!S60)-('Hist_Financials'!D25*'Scenario_Library'!T60)-('Hist_Financials'!D6*'Scenario_Library'!U60)))*'Scenario_Library'!V60))-('Hist_Financials'!D37*(1-'Scenario_Library'!Q60))-('Hist_Financials'!D38*(1-'Scenario_Library'!R60)))&gt;0),"RESILIENT","WATCH")))</f>
        <v/>
      </c>
    </row>
    <row r="58" ht="17" customHeight="1" s="28">
      <c r="B58" s="223">
        <f>'Scenario_Library'!A61</f>
        <v/>
      </c>
      <c r="C58" s="224" t="inlineStr">
        <is>
          <t>Light</t>
        </is>
      </c>
      <c r="D58" s="225">
        <f>'Hist_Financials'!D6*(1+'Scenario_Library'!E61)</f>
        <v/>
      </c>
      <c r="E58" s="226">
        <f>('Hist_Financials'!D6*(1+'Scenario_Library'!E61))-'Hist_Financials'!D6</f>
        <v/>
      </c>
      <c r="F58" s="227">
        <f>IFERROR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/('Hist_Financials'!D6*(1+'Scenario_Library'!E61)),0)</f>
        <v/>
      </c>
      <c r="G58" s="225">
        <f>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</f>
        <v/>
      </c>
      <c r="H58" s="226">
        <f>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11</f>
        <v/>
      </c>
      <c r="I58" s="225">
        <f>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-(MAX(0,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)*'Scenario_Library'!V61)</f>
        <v/>
      </c>
      <c r="J58" s="225">
        <f>((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-(MAX(0,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)*'Scenario_Library'!V61))+'Hist_Financials'!D12+('Hist_Financials'!D24*'Scenario_Library'!S61)+('Hist_Financials'!D25*'Scenario_Library'!T61)-( (('Hist_Financials'!D6*(1+'Scenario_Library'!E61))*(MAX(0,IFERROR('Hist_Financials'!D21/'Hist_Financials'!D6*365,0)+'Scenario_Library'!I61))/365)-'Hist_Financials'!D21 )-( (IFERROR(('Hist_Financials'!D6*(1+'Scenario_Library'!E61))*(1-(MAX(-0.5,MIN(0.9,IFERROR('Hist_Financials'!D8/'Hist_Financials'!D6,0)+'Scenario_Library'!F61/10000))))*(MAX(0,IFERROR('Hist_Financials'!D22/'Hist_Financials'!D7*365,0)+'Scenario_Library'!J61))/365,0))-'Hist_Financials'!D22 )+( (IFERROR(('Hist_Financials'!D6*(1+'Scenario_Library'!E61))*(1-(MAX(-0.5,MIN(0.9,IFERROR('Hist_Financials'!D8/'Hist_Financials'!D6,0)+'Scenario_Library'!F61/10000))))*(MAX(0,IFERROR('Hist_Financials'!D28/'Hist_Financials'!D7*365,0)+'Scenario_Library'!K61))/365,0))-'Hist_Financials'!D28 ))-('Hist_Financials'!D36*(1-'Scenario_Library'!P61))</f>
        <v/>
      </c>
      <c r="K58" s="225">
        <f>MAX(0,'Hist_Financials'!D20+((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-(MAX(0,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)*'Scenario_Library'!V61))+'Hist_Financials'!D12+('Hist_Financials'!D24*'Scenario_Library'!S61)+('Hist_Financials'!D25*'Scenario_Library'!T61)-( (('Hist_Financials'!D6*(1+'Scenario_Library'!E61))*(MAX(0,IFERROR('Hist_Financials'!D21/'Hist_Financials'!D6*365,0)+'Scenario_Library'!I61))/365)-'Hist_Financials'!D21 )-( (IFERROR(('Hist_Financials'!D6*(1+'Scenario_Library'!E61))*(1-(MAX(-0.5,MIN(0.9,IFERROR('Hist_Financials'!D8/'Hist_Financials'!D6,0)+'Scenario_Library'!F61/10000))))*(MAX(0,IFERROR('Hist_Financials'!D22/'Hist_Financials'!D7*365,0)+'Scenario_Library'!J61))/365,0))-'Hist_Financials'!D22 )+( (IFERROR(('Hist_Financials'!D6*(1+'Scenario_Library'!E61))*(1-(MAX(-0.5,MIN(0.9,IFERROR('Hist_Financials'!D8/'Hist_Financials'!D6,0)+'Scenario_Library'!F61/10000))))*(MAX(0,IFERROR('Hist_Financials'!D28/'Hist_Financials'!D7*365,0)+'Scenario_Library'!K61))/365,0))-'Hist_Financials'!D28 ))-('Hist_Financials'!D36*(1-'Scenario_Library'!P61))-('Hist_Financials'!D37*(1-'Scenario_Library'!Q61))-('Hist_Financials'!D38*(1-'Scenario_Library'!R61))-('Hist_Financials'!D27*(1-'Scenario_Library'!M61))-('Hist_Financials'!D30*'Scenario_Library'!N61*(1-'Scenario_Library'!O61)))</f>
        <v/>
      </c>
      <c r="L58" s="228">
        <f>IF('Hist_Financials'!D6=0,"",IFERROR(( (('Hist_Financials'!D27-('Hist_Financials'!D27*(1-'Scenario_Library'!M61)))+('Hist_Financials'!D30-('Hist_Financials'!D30*'Scenario_Library'!N61*(1-'Scenario_Library'!O61))))-(MAX(0,'Hist_Financials'!D20+((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-(MAX(0,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)*'Scenario_Library'!V61))+'Hist_Financials'!D12+('Hist_Financials'!D24*'Scenario_Library'!S61)+('Hist_Financials'!D25*'Scenario_Library'!T61)-( (('Hist_Financials'!D6*(1+'Scenario_Library'!E61))*(MAX(0,IFERROR('Hist_Financials'!D21/'Hist_Financials'!D6*365,0)+'Scenario_Library'!I61))/365)-'Hist_Financials'!D21 )-( (IFERROR(('Hist_Financials'!D6*(1+'Scenario_Library'!E61))*(1-(MAX(-0.5,MIN(0.9,IFERROR('Hist_Financials'!D8/'Hist_Financials'!D6,0)+'Scenario_Library'!F61/10000))))*(MAX(0,IFERROR('Hist_Financials'!D22/'Hist_Financials'!D7*365,0)+'Scenario_Library'!J61))/365,0))-'Hist_Financials'!D22 )+( (IFERROR(('Hist_Financials'!D6*(1+'Scenario_Library'!E61))*(1-(MAX(-0.5,MIN(0.9,IFERROR('Hist_Financials'!D8/'Hist_Financials'!D6,0)+'Scenario_Library'!F61/10000))))*(MAX(0,IFERROR('Hist_Financials'!D28/'Hist_Financials'!D7*365,0)+'Scenario_Library'!K61))/365,0))-'Hist_Financials'!D28 ))-('Hist_Financials'!D36*(1-'Scenario_Library'!P61))-('Hist_Financials'!D37*(1-'Scenario_Library'!Q61))-('Hist_Financials'!D38*(1-'Scenario_Library'!R61))-('Hist_Financials'!D27*(1-'Scenario_Library'!M61))-('Hist_Financials'!D30*'Scenario_Library'!N61*(1-'Scenario_Library'!O61)))) )/MAX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,0.01),99))</f>
        <v/>
      </c>
      <c r="M58" s="228">
        <f>IF('Hist_Financials'!D6=0,"",IFERROR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/MAX(((MAX(0,IFERROR('Hist_Financials'!D14/MAX('Hist_Financials'!D27+'Hist_Financials'!D30,1),0)+'Scenario_Library'!L61/10000))*('Hist_Financials'!D27+'Hist_Financials'!D30)),0.01),999))</f>
        <v/>
      </c>
      <c r="N58" s="229">
        <f>IF('Hist_Financials'!D6=0,"— NO DATA —",IF(OR((IFERROR(( (('Hist_Financials'!D27-('Hist_Financials'!D27*(1-'Scenario_Library'!M61)))+('Hist_Financials'!D30-('Hist_Financials'!D30*'Scenario_Library'!N61*(1-'Scenario_Library'!O61))))-(MAX(0,'Hist_Financials'!D20+((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-(MAX(0,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)*'Scenario_Library'!V61))+'Hist_Financials'!D12+('Hist_Financials'!D24*'Scenario_Library'!S61)+('Hist_Financials'!D25*'Scenario_Library'!T61)-( (('Hist_Financials'!D6*(1+'Scenario_Library'!E61))*(MAX(0,IFERROR('Hist_Financials'!D21/'Hist_Financials'!D6*365,0)+'Scenario_Library'!I61))/365)-'Hist_Financials'!D21 )-( (IFERROR(('Hist_Financials'!D6*(1+'Scenario_Library'!E61))*(1-(MAX(-0.5,MIN(0.9,IFERROR('Hist_Financials'!D8/'Hist_Financials'!D6,0)+'Scenario_Library'!F61/10000))))*(MAX(0,IFERROR('Hist_Financials'!D22/'Hist_Financials'!D7*365,0)+'Scenario_Library'!J61))/365,0))-'Hist_Financials'!D22 )+( (IFERROR(('Hist_Financials'!D6*(1+'Scenario_Library'!E61))*(1-(MAX(-0.5,MIN(0.9,IFERROR('Hist_Financials'!D8/'Hist_Financials'!D6,0)+'Scenario_Library'!F61/10000))))*(MAX(0,IFERROR('Hist_Financials'!D28/'Hist_Financials'!D7*365,0)+'Scenario_Library'!K61))/365,0))-'Hist_Financials'!D28 ))-('Hist_Financials'!D36*(1-'Scenario_Library'!P61))-('Hist_Financials'!D37*(1-'Scenario_Library'!Q61))-('Hist_Financials'!D38*(1-'Scenario_Library'!R61))-('Hist_Financials'!D27*(1-'Scenario_Library'!M61))-('Hist_Financials'!D30*'Scenario_Library'!N61*(1-'Scenario_Library'!O61)))) )/MAX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,0.01),99))&gt;'Scenario_Setup'!B13,(IFERROR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/MAX(((MAX(0,IFERROR('Hist_Financials'!D14/MAX('Hist_Financials'!D27+'Hist_Financials'!D30,1),0)+'Scenario_Library'!L61/10000))*('Hist_Financials'!D27+'Hist_Financials'!D30)),0.01),999))&lt;'Scenario_Setup'!B12,('Hist_Financials'!D32+(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-(MAX(0,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)*'Scenario_Library'!V61))-('Hist_Financials'!D37*(1-'Scenario_Library'!Q61))-('Hist_Financials'!D38*(1-'Scenario_Library'!R61)))&lt;0,(((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-(MAX(0,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)*'Scenario_Library'!V61))+'Hist_Financials'!D12+('Hist_Financials'!D24*'Scenario_Library'!S61)+('Hist_Financials'!D25*'Scenario_Library'!T61)-( (('Hist_Financials'!D6*(1+'Scenario_Library'!E61))*(MAX(0,IFERROR('Hist_Financials'!D21/'Hist_Financials'!D6*365,0)+'Scenario_Library'!I61))/365)-'Hist_Financials'!D21 )-( (IFERROR(('Hist_Financials'!D6*(1+'Scenario_Library'!E61))*(1-(MAX(-0.5,MIN(0.9,IFERROR('Hist_Financials'!D8/'Hist_Financials'!D6,0)+'Scenario_Library'!F61/10000))))*(MAX(0,IFERROR('Hist_Financials'!D22/'Hist_Financials'!D7*365,0)+'Scenario_Library'!J61))/365,0))-'Hist_Financials'!D22 )+( (IFERROR(('Hist_Financials'!D6*(1+'Scenario_Library'!E61))*(1-(MAX(-0.5,MIN(0.9,IFERROR('Hist_Financials'!D8/'Hist_Financials'!D6,0)+'Scenario_Library'!F61/10000))))*(MAX(0,IFERROR('Hist_Financials'!D28/'Hist_Financials'!D7*365,0)+'Scenario_Library'!K61))/365,0))-'Hist_Financials'!D28 ))-('Hist_Financials'!D36*(1-'Scenario_Library'!P61)))&lt;-0.2*'Hist_Financials'!D6),"CRITICAL",IF(AND((((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-(MAX(0,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)*'Scenario_Library'!V61))+'Hist_Financials'!D12+('Hist_Financials'!D24*'Scenario_Library'!S61)+('Hist_Financials'!D25*'Scenario_Library'!T61)-( (('Hist_Financials'!D6*(1+'Scenario_Library'!E61))*(MAX(0,IFERROR('Hist_Financials'!D21/'Hist_Financials'!D6*365,0)+'Scenario_Library'!I61))/365)-'Hist_Financials'!D21 )-( (IFERROR(('Hist_Financials'!D6*(1+'Scenario_Library'!E61))*(1-(MAX(-0.5,MIN(0.9,IFERROR('Hist_Financials'!D8/'Hist_Financials'!D6,0)+'Scenario_Library'!F61/10000))))*(MAX(0,IFERROR('Hist_Financials'!D22/'Hist_Financials'!D7*365,0)+'Scenario_Library'!J61))/365,0))-'Hist_Financials'!D22 )+( (IFERROR(('Hist_Financials'!D6*(1+'Scenario_Library'!E61))*(1-(MAX(-0.5,MIN(0.9,IFERROR('Hist_Financials'!D8/'Hist_Financials'!D6,0)+'Scenario_Library'!F61/10000))))*(MAX(0,IFERROR('Hist_Financials'!D28/'Hist_Financials'!D7*365,0)+'Scenario_Library'!K61))/365,0))-'Hist_Financials'!D28 ))-('Hist_Financials'!D36*(1-'Scenario_Library'!P61)))&gt;=0,(IFERROR(( (('Hist_Financials'!D27-('Hist_Financials'!D27*(1-'Scenario_Library'!M61)))+('Hist_Financials'!D30-('Hist_Financials'!D30*'Scenario_Library'!N61*(1-'Scenario_Library'!O61))))-(MAX(0,'Hist_Financials'!D20+((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-(MAX(0,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)*'Scenario_Library'!V61))+'Hist_Financials'!D12+('Hist_Financials'!D24*'Scenario_Library'!S61)+('Hist_Financials'!D25*'Scenario_Library'!T61)-( (('Hist_Financials'!D6*(1+'Scenario_Library'!E61))*(MAX(0,IFERROR('Hist_Financials'!D21/'Hist_Financials'!D6*365,0)+'Scenario_Library'!I61))/365)-'Hist_Financials'!D21 )-( (IFERROR(('Hist_Financials'!D6*(1+'Scenario_Library'!E61))*(1-(MAX(-0.5,MIN(0.9,IFERROR('Hist_Financials'!D8/'Hist_Financials'!D6,0)+'Scenario_Library'!F61/10000))))*(MAX(0,IFERROR('Hist_Financials'!D22/'Hist_Financials'!D7*365,0)+'Scenario_Library'!J61))/365,0))-'Hist_Financials'!D22 )+( (IFERROR(('Hist_Financials'!D6*(1+'Scenario_Library'!E61))*(1-(MAX(-0.5,MIN(0.9,IFERROR('Hist_Financials'!D8/'Hist_Financials'!D6,0)+'Scenario_Library'!F61/10000))))*(MAX(0,IFERROR('Hist_Financials'!D28/'Hist_Financials'!D7*365,0)+'Scenario_Library'!K61))/365,0))-'Hist_Financials'!D28 ))-('Hist_Financials'!D36*(1-'Scenario_Library'!P61))-('Hist_Financials'!D37*(1-'Scenario_Library'!Q61))-('Hist_Financials'!D38*(1-'Scenario_Library'!R61))-('Hist_Financials'!D27*(1-'Scenario_Library'!M61))-('Hist_Financials'!D30*'Scenario_Library'!N61*(1-'Scenario_Library'!O61)))) )/MAX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,0.01),99))&lt;3,(IFERROR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/MAX(((MAX(0,IFERROR('Hist_Financials'!D14/MAX('Hist_Financials'!D27+'Hist_Financials'!D30,1),0)+'Scenario_Library'!L61/10000))*('Hist_Financials'!D27+'Hist_Financials'!D30)),0.01),999))&gt;='Scenario_Setup'!B12,('Hist_Financials'!D32+(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-(MAX(0,((((('Hist_Financials'!D6*(1+'Scenario_Library'!E61))*(MAX(-0.5,MIN(0.9,IFERROR('Hist_Financials'!D8/'Hist_Financials'!D6,0)+'Scenario_Library'!F61/10000))))-(MAX(0,'Hist_Financials'!D9*(1+'Scenario_Setup'!B9*('Scenario_Library'!E61)+('Scenario_Library'!G61))))-(MAX(0,'Hist_Financials'!D10*(1+'Scenario_Library'!H61))))-'Hist_Financials'!D12)-((MAX(0,IFERROR('Hist_Financials'!D14/MAX('Hist_Financials'!D27+'Hist_Financials'!D30,1),0)+'Scenario_Library'!L61/10000))*('Hist_Financials'!D27+'Hist_Financials'!D30))-('Hist_Financials'!D24*'Scenario_Library'!S61)-('Hist_Financials'!D25*'Scenario_Library'!T61)-('Hist_Financials'!D6*'Scenario_Library'!U61)))*'Scenario_Library'!V61))-('Hist_Financials'!D37*(1-'Scenario_Library'!Q61))-('Hist_Financials'!D38*(1-'Scenario_Library'!R61)))&gt;0),"RESILIENT","WATCH")))</f>
        <v/>
      </c>
    </row>
    <row r="59" ht="17" customHeight="1" s="28">
      <c r="B59" s="230">
        <f>'Scenario_Library'!A62</f>
        <v/>
      </c>
      <c r="C59" s="231" t="inlineStr">
        <is>
          <t>Base</t>
        </is>
      </c>
      <c r="D59" s="215">
        <f>'Hist_Financials'!D6*(1+'Scenario_Library'!E62)</f>
        <v/>
      </c>
      <c r="E59" s="213">
        <f>('Hist_Financials'!D6*(1+'Scenario_Library'!E62))-'Hist_Financials'!D6</f>
        <v/>
      </c>
      <c r="F59" s="214">
        <f>IFERROR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/('Hist_Financials'!D6*(1+'Scenario_Library'!E62)),0)</f>
        <v/>
      </c>
      <c r="G59" s="215">
        <f>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</f>
        <v/>
      </c>
      <c r="H59" s="213">
        <f>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11</f>
        <v/>
      </c>
      <c r="I59" s="215">
        <f>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-(MAX(0,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)*'Scenario_Library'!V62)</f>
        <v/>
      </c>
      <c r="J59" s="215">
        <f>((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-(MAX(0,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)*'Scenario_Library'!V62))+'Hist_Financials'!D12+('Hist_Financials'!D24*'Scenario_Library'!S62)+('Hist_Financials'!D25*'Scenario_Library'!T62)-( (('Hist_Financials'!D6*(1+'Scenario_Library'!E62))*(MAX(0,IFERROR('Hist_Financials'!D21/'Hist_Financials'!D6*365,0)+'Scenario_Library'!I62))/365)-'Hist_Financials'!D21 )-( (IFERROR(('Hist_Financials'!D6*(1+'Scenario_Library'!E62))*(1-(MAX(-0.5,MIN(0.9,IFERROR('Hist_Financials'!D8/'Hist_Financials'!D6,0)+'Scenario_Library'!F62/10000))))*(MAX(0,IFERROR('Hist_Financials'!D22/'Hist_Financials'!D7*365,0)+'Scenario_Library'!J62))/365,0))-'Hist_Financials'!D22 )+( (IFERROR(('Hist_Financials'!D6*(1+'Scenario_Library'!E62))*(1-(MAX(-0.5,MIN(0.9,IFERROR('Hist_Financials'!D8/'Hist_Financials'!D6,0)+'Scenario_Library'!F62/10000))))*(MAX(0,IFERROR('Hist_Financials'!D28/'Hist_Financials'!D7*365,0)+'Scenario_Library'!K62))/365,0))-'Hist_Financials'!D28 ))-('Hist_Financials'!D36*(1-'Scenario_Library'!P62))</f>
        <v/>
      </c>
      <c r="K59" s="215">
        <f>MAX(0,'Hist_Financials'!D20+((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-(MAX(0,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)*'Scenario_Library'!V62))+'Hist_Financials'!D12+('Hist_Financials'!D24*'Scenario_Library'!S62)+('Hist_Financials'!D25*'Scenario_Library'!T62)-( (('Hist_Financials'!D6*(1+'Scenario_Library'!E62))*(MAX(0,IFERROR('Hist_Financials'!D21/'Hist_Financials'!D6*365,0)+'Scenario_Library'!I62))/365)-'Hist_Financials'!D21 )-( (IFERROR(('Hist_Financials'!D6*(1+'Scenario_Library'!E62))*(1-(MAX(-0.5,MIN(0.9,IFERROR('Hist_Financials'!D8/'Hist_Financials'!D6,0)+'Scenario_Library'!F62/10000))))*(MAX(0,IFERROR('Hist_Financials'!D22/'Hist_Financials'!D7*365,0)+'Scenario_Library'!J62))/365,0))-'Hist_Financials'!D22 )+( (IFERROR(('Hist_Financials'!D6*(1+'Scenario_Library'!E62))*(1-(MAX(-0.5,MIN(0.9,IFERROR('Hist_Financials'!D8/'Hist_Financials'!D6,0)+'Scenario_Library'!F62/10000))))*(MAX(0,IFERROR('Hist_Financials'!D28/'Hist_Financials'!D7*365,0)+'Scenario_Library'!K62))/365,0))-'Hist_Financials'!D28 ))-('Hist_Financials'!D36*(1-'Scenario_Library'!P62))-('Hist_Financials'!D37*(1-'Scenario_Library'!Q62))-('Hist_Financials'!D38*(1-'Scenario_Library'!R62))-('Hist_Financials'!D27*(1-'Scenario_Library'!M62))-('Hist_Financials'!D30*'Scenario_Library'!N62*(1-'Scenario_Library'!O62)))</f>
        <v/>
      </c>
      <c r="L59" s="216">
        <f>IF('Hist_Financials'!D6=0,"",IFERROR(( (('Hist_Financials'!D27-('Hist_Financials'!D27*(1-'Scenario_Library'!M62)))+('Hist_Financials'!D30-('Hist_Financials'!D30*'Scenario_Library'!N62*(1-'Scenario_Library'!O62))))-(MAX(0,'Hist_Financials'!D20+((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-(MAX(0,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)*'Scenario_Library'!V62))+'Hist_Financials'!D12+('Hist_Financials'!D24*'Scenario_Library'!S62)+('Hist_Financials'!D25*'Scenario_Library'!T62)-( (('Hist_Financials'!D6*(1+'Scenario_Library'!E62))*(MAX(0,IFERROR('Hist_Financials'!D21/'Hist_Financials'!D6*365,0)+'Scenario_Library'!I62))/365)-'Hist_Financials'!D21 )-( (IFERROR(('Hist_Financials'!D6*(1+'Scenario_Library'!E62))*(1-(MAX(-0.5,MIN(0.9,IFERROR('Hist_Financials'!D8/'Hist_Financials'!D6,0)+'Scenario_Library'!F62/10000))))*(MAX(0,IFERROR('Hist_Financials'!D22/'Hist_Financials'!D7*365,0)+'Scenario_Library'!J62))/365,0))-'Hist_Financials'!D22 )+( (IFERROR(('Hist_Financials'!D6*(1+'Scenario_Library'!E62))*(1-(MAX(-0.5,MIN(0.9,IFERROR('Hist_Financials'!D8/'Hist_Financials'!D6,0)+'Scenario_Library'!F62/10000))))*(MAX(0,IFERROR('Hist_Financials'!D28/'Hist_Financials'!D7*365,0)+'Scenario_Library'!K62))/365,0))-'Hist_Financials'!D28 ))-('Hist_Financials'!D36*(1-'Scenario_Library'!P62))-('Hist_Financials'!D37*(1-'Scenario_Library'!Q62))-('Hist_Financials'!D38*(1-'Scenario_Library'!R62))-('Hist_Financials'!D27*(1-'Scenario_Library'!M62))-('Hist_Financials'!D30*'Scenario_Library'!N62*(1-'Scenario_Library'!O62)))) )/MAX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,0.01),99))</f>
        <v/>
      </c>
      <c r="M59" s="216">
        <f>IF('Hist_Financials'!D6=0,"",IFERROR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/MAX(((MAX(0,IFERROR('Hist_Financials'!D14/MAX('Hist_Financials'!D27+'Hist_Financials'!D30,1),0)+'Scenario_Library'!L62/10000))*('Hist_Financials'!D27+'Hist_Financials'!D30)),0.01),999))</f>
        <v/>
      </c>
      <c r="N59" s="212">
        <f>IF('Hist_Financials'!D6=0,"— NO DATA —",IF(OR((IFERROR(( (('Hist_Financials'!D27-('Hist_Financials'!D27*(1-'Scenario_Library'!M62)))+('Hist_Financials'!D30-('Hist_Financials'!D30*'Scenario_Library'!N62*(1-'Scenario_Library'!O62))))-(MAX(0,'Hist_Financials'!D20+((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-(MAX(0,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)*'Scenario_Library'!V62))+'Hist_Financials'!D12+('Hist_Financials'!D24*'Scenario_Library'!S62)+('Hist_Financials'!D25*'Scenario_Library'!T62)-( (('Hist_Financials'!D6*(1+'Scenario_Library'!E62))*(MAX(0,IFERROR('Hist_Financials'!D21/'Hist_Financials'!D6*365,0)+'Scenario_Library'!I62))/365)-'Hist_Financials'!D21 )-( (IFERROR(('Hist_Financials'!D6*(1+'Scenario_Library'!E62))*(1-(MAX(-0.5,MIN(0.9,IFERROR('Hist_Financials'!D8/'Hist_Financials'!D6,0)+'Scenario_Library'!F62/10000))))*(MAX(0,IFERROR('Hist_Financials'!D22/'Hist_Financials'!D7*365,0)+'Scenario_Library'!J62))/365,0))-'Hist_Financials'!D22 )+( (IFERROR(('Hist_Financials'!D6*(1+'Scenario_Library'!E62))*(1-(MAX(-0.5,MIN(0.9,IFERROR('Hist_Financials'!D8/'Hist_Financials'!D6,0)+'Scenario_Library'!F62/10000))))*(MAX(0,IFERROR('Hist_Financials'!D28/'Hist_Financials'!D7*365,0)+'Scenario_Library'!K62))/365,0))-'Hist_Financials'!D28 ))-('Hist_Financials'!D36*(1-'Scenario_Library'!P62))-('Hist_Financials'!D37*(1-'Scenario_Library'!Q62))-('Hist_Financials'!D38*(1-'Scenario_Library'!R62))-('Hist_Financials'!D27*(1-'Scenario_Library'!M62))-('Hist_Financials'!D30*'Scenario_Library'!N62*(1-'Scenario_Library'!O62)))) )/MAX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,0.01),99))&gt;'Scenario_Setup'!B13,(IFERROR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/MAX(((MAX(0,IFERROR('Hist_Financials'!D14/MAX('Hist_Financials'!D27+'Hist_Financials'!D30,1),0)+'Scenario_Library'!L62/10000))*('Hist_Financials'!D27+'Hist_Financials'!D30)),0.01),999))&lt;'Scenario_Setup'!B12,('Hist_Financials'!D32+(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-(MAX(0,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)*'Scenario_Library'!V62))-('Hist_Financials'!D37*(1-'Scenario_Library'!Q62))-('Hist_Financials'!D38*(1-'Scenario_Library'!R62)))&lt;0,(((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-(MAX(0,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)*'Scenario_Library'!V62))+'Hist_Financials'!D12+('Hist_Financials'!D24*'Scenario_Library'!S62)+('Hist_Financials'!D25*'Scenario_Library'!T62)-( (('Hist_Financials'!D6*(1+'Scenario_Library'!E62))*(MAX(0,IFERROR('Hist_Financials'!D21/'Hist_Financials'!D6*365,0)+'Scenario_Library'!I62))/365)-'Hist_Financials'!D21 )-( (IFERROR(('Hist_Financials'!D6*(1+'Scenario_Library'!E62))*(1-(MAX(-0.5,MIN(0.9,IFERROR('Hist_Financials'!D8/'Hist_Financials'!D6,0)+'Scenario_Library'!F62/10000))))*(MAX(0,IFERROR('Hist_Financials'!D22/'Hist_Financials'!D7*365,0)+'Scenario_Library'!J62))/365,0))-'Hist_Financials'!D22 )+( (IFERROR(('Hist_Financials'!D6*(1+'Scenario_Library'!E62))*(1-(MAX(-0.5,MIN(0.9,IFERROR('Hist_Financials'!D8/'Hist_Financials'!D6,0)+'Scenario_Library'!F62/10000))))*(MAX(0,IFERROR('Hist_Financials'!D28/'Hist_Financials'!D7*365,0)+'Scenario_Library'!K62))/365,0))-'Hist_Financials'!D28 ))-('Hist_Financials'!D36*(1-'Scenario_Library'!P62)))&lt;-0.2*'Hist_Financials'!D6),"CRITICAL",IF(AND((((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-(MAX(0,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)*'Scenario_Library'!V62))+'Hist_Financials'!D12+('Hist_Financials'!D24*'Scenario_Library'!S62)+('Hist_Financials'!D25*'Scenario_Library'!T62)-( (('Hist_Financials'!D6*(1+'Scenario_Library'!E62))*(MAX(0,IFERROR('Hist_Financials'!D21/'Hist_Financials'!D6*365,0)+'Scenario_Library'!I62))/365)-'Hist_Financials'!D21 )-( (IFERROR(('Hist_Financials'!D6*(1+'Scenario_Library'!E62))*(1-(MAX(-0.5,MIN(0.9,IFERROR('Hist_Financials'!D8/'Hist_Financials'!D6,0)+'Scenario_Library'!F62/10000))))*(MAX(0,IFERROR('Hist_Financials'!D22/'Hist_Financials'!D7*365,0)+'Scenario_Library'!J62))/365,0))-'Hist_Financials'!D22 )+( (IFERROR(('Hist_Financials'!D6*(1+'Scenario_Library'!E62))*(1-(MAX(-0.5,MIN(0.9,IFERROR('Hist_Financials'!D8/'Hist_Financials'!D6,0)+'Scenario_Library'!F62/10000))))*(MAX(0,IFERROR('Hist_Financials'!D28/'Hist_Financials'!D7*365,0)+'Scenario_Library'!K62))/365,0))-'Hist_Financials'!D28 ))-('Hist_Financials'!D36*(1-'Scenario_Library'!P62)))&gt;=0,(IFERROR(( (('Hist_Financials'!D27-('Hist_Financials'!D27*(1-'Scenario_Library'!M62)))+('Hist_Financials'!D30-('Hist_Financials'!D30*'Scenario_Library'!N62*(1-'Scenario_Library'!O62))))-(MAX(0,'Hist_Financials'!D20+((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-(MAX(0,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)*'Scenario_Library'!V62))+'Hist_Financials'!D12+('Hist_Financials'!D24*'Scenario_Library'!S62)+('Hist_Financials'!D25*'Scenario_Library'!T62)-( (('Hist_Financials'!D6*(1+'Scenario_Library'!E62))*(MAX(0,IFERROR('Hist_Financials'!D21/'Hist_Financials'!D6*365,0)+'Scenario_Library'!I62))/365)-'Hist_Financials'!D21 )-( (IFERROR(('Hist_Financials'!D6*(1+'Scenario_Library'!E62))*(1-(MAX(-0.5,MIN(0.9,IFERROR('Hist_Financials'!D8/'Hist_Financials'!D6,0)+'Scenario_Library'!F62/10000))))*(MAX(0,IFERROR('Hist_Financials'!D22/'Hist_Financials'!D7*365,0)+'Scenario_Library'!J62))/365,0))-'Hist_Financials'!D22 )+( (IFERROR(('Hist_Financials'!D6*(1+'Scenario_Library'!E62))*(1-(MAX(-0.5,MIN(0.9,IFERROR('Hist_Financials'!D8/'Hist_Financials'!D6,0)+'Scenario_Library'!F62/10000))))*(MAX(0,IFERROR('Hist_Financials'!D28/'Hist_Financials'!D7*365,0)+'Scenario_Library'!K62))/365,0))-'Hist_Financials'!D28 ))-('Hist_Financials'!D36*(1-'Scenario_Library'!P62))-('Hist_Financials'!D37*(1-'Scenario_Library'!Q62))-('Hist_Financials'!D38*(1-'Scenario_Library'!R62))-('Hist_Financials'!D27*(1-'Scenario_Library'!M62))-('Hist_Financials'!D30*'Scenario_Library'!N62*(1-'Scenario_Library'!O62)))) )/MAX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,0.01),99))&lt;3,(IFERROR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/MAX(((MAX(0,IFERROR('Hist_Financials'!D14/MAX('Hist_Financials'!D27+'Hist_Financials'!D30,1),0)+'Scenario_Library'!L62/10000))*('Hist_Financials'!D27+'Hist_Financials'!D30)),0.01),999))&gt;='Scenario_Setup'!B12,('Hist_Financials'!D32+(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-(MAX(0,((((('Hist_Financials'!D6*(1+'Scenario_Library'!E62))*(MAX(-0.5,MIN(0.9,IFERROR('Hist_Financials'!D8/'Hist_Financials'!D6,0)+'Scenario_Library'!F62/10000))))-(MAX(0,'Hist_Financials'!D9*(1+'Scenario_Setup'!B9*('Scenario_Library'!E62)+('Scenario_Library'!G62))))-(MAX(0,'Hist_Financials'!D10*(1+'Scenario_Library'!H62))))-'Hist_Financials'!D12)-((MAX(0,IFERROR('Hist_Financials'!D14/MAX('Hist_Financials'!D27+'Hist_Financials'!D30,1),0)+'Scenario_Library'!L62/10000))*('Hist_Financials'!D27+'Hist_Financials'!D30))-('Hist_Financials'!D24*'Scenario_Library'!S62)-('Hist_Financials'!D25*'Scenario_Library'!T62)-('Hist_Financials'!D6*'Scenario_Library'!U62)))*'Scenario_Library'!V62))-('Hist_Financials'!D37*(1-'Scenario_Library'!Q62))-('Hist_Financials'!D38*(1-'Scenario_Library'!R62)))&gt;0),"RESILIENT","WATCH")))</f>
        <v/>
      </c>
    </row>
    <row r="60" ht="17" customHeight="1" s="28">
      <c r="B60" s="230">
        <f>'Scenario_Library'!A63</f>
        <v/>
      </c>
      <c r="C60" s="232" t="inlineStr">
        <is>
          <t>Severe</t>
        </is>
      </c>
      <c r="D60" s="221">
        <f>'Hist_Financials'!D6*(1+'Scenario_Library'!E63)</f>
        <v/>
      </c>
      <c r="E60" s="219">
        <f>('Hist_Financials'!D6*(1+'Scenario_Library'!E63))-'Hist_Financials'!D6</f>
        <v/>
      </c>
      <c r="F60" s="220">
        <f>IFERROR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/('Hist_Financials'!D6*(1+'Scenario_Library'!E63)),0)</f>
        <v/>
      </c>
      <c r="G60" s="221">
        <f>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</f>
        <v/>
      </c>
      <c r="H60" s="219">
        <f>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11</f>
        <v/>
      </c>
      <c r="I60" s="221">
        <f>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-(MAX(0,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)*'Scenario_Library'!V63)</f>
        <v/>
      </c>
      <c r="J60" s="221">
        <f>((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-(MAX(0,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)*'Scenario_Library'!V63))+'Hist_Financials'!D12+('Hist_Financials'!D24*'Scenario_Library'!S63)+('Hist_Financials'!D25*'Scenario_Library'!T63)-( (('Hist_Financials'!D6*(1+'Scenario_Library'!E63))*(MAX(0,IFERROR('Hist_Financials'!D21/'Hist_Financials'!D6*365,0)+'Scenario_Library'!I63))/365)-'Hist_Financials'!D21 )-( (IFERROR(('Hist_Financials'!D6*(1+'Scenario_Library'!E63))*(1-(MAX(-0.5,MIN(0.9,IFERROR('Hist_Financials'!D8/'Hist_Financials'!D6,0)+'Scenario_Library'!F63/10000))))*(MAX(0,IFERROR('Hist_Financials'!D22/'Hist_Financials'!D7*365,0)+'Scenario_Library'!J63))/365,0))-'Hist_Financials'!D22 )+( (IFERROR(('Hist_Financials'!D6*(1+'Scenario_Library'!E63))*(1-(MAX(-0.5,MIN(0.9,IFERROR('Hist_Financials'!D8/'Hist_Financials'!D6,0)+'Scenario_Library'!F63/10000))))*(MAX(0,IFERROR('Hist_Financials'!D28/'Hist_Financials'!D7*365,0)+'Scenario_Library'!K63))/365,0))-'Hist_Financials'!D28 ))-('Hist_Financials'!D36*(1-'Scenario_Library'!P63))</f>
        <v/>
      </c>
      <c r="K60" s="221">
        <f>MAX(0,'Hist_Financials'!D20+((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-(MAX(0,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)*'Scenario_Library'!V63))+'Hist_Financials'!D12+('Hist_Financials'!D24*'Scenario_Library'!S63)+('Hist_Financials'!D25*'Scenario_Library'!T63)-( (('Hist_Financials'!D6*(1+'Scenario_Library'!E63))*(MAX(0,IFERROR('Hist_Financials'!D21/'Hist_Financials'!D6*365,0)+'Scenario_Library'!I63))/365)-'Hist_Financials'!D21 )-( (IFERROR(('Hist_Financials'!D6*(1+'Scenario_Library'!E63))*(1-(MAX(-0.5,MIN(0.9,IFERROR('Hist_Financials'!D8/'Hist_Financials'!D6,0)+'Scenario_Library'!F63/10000))))*(MAX(0,IFERROR('Hist_Financials'!D22/'Hist_Financials'!D7*365,0)+'Scenario_Library'!J63))/365,0))-'Hist_Financials'!D22 )+( (IFERROR(('Hist_Financials'!D6*(1+'Scenario_Library'!E63))*(1-(MAX(-0.5,MIN(0.9,IFERROR('Hist_Financials'!D8/'Hist_Financials'!D6,0)+'Scenario_Library'!F63/10000))))*(MAX(0,IFERROR('Hist_Financials'!D28/'Hist_Financials'!D7*365,0)+'Scenario_Library'!K63))/365,0))-'Hist_Financials'!D28 ))-('Hist_Financials'!D36*(1-'Scenario_Library'!P63))-('Hist_Financials'!D37*(1-'Scenario_Library'!Q63))-('Hist_Financials'!D38*(1-'Scenario_Library'!R63))-('Hist_Financials'!D27*(1-'Scenario_Library'!M63))-('Hist_Financials'!D30*'Scenario_Library'!N63*(1-'Scenario_Library'!O63)))</f>
        <v/>
      </c>
      <c r="L60" s="222">
        <f>IF('Hist_Financials'!D6=0,"",IFERROR(( (('Hist_Financials'!D27-('Hist_Financials'!D27*(1-'Scenario_Library'!M63)))+('Hist_Financials'!D30-('Hist_Financials'!D30*'Scenario_Library'!N63*(1-'Scenario_Library'!O63))))-(MAX(0,'Hist_Financials'!D20+((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-(MAX(0,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)*'Scenario_Library'!V63))+'Hist_Financials'!D12+('Hist_Financials'!D24*'Scenario_Library'!S63)+('Hist_Financials'!D25*'Scenario_Library'!T63)-( (('Hist_Financials'!D6*(1+'Scenario_Library'!E63))*(MAX(0,IFERROR('Hist_Financials'!D21/'Hist_Financials'!D6*365,0)+'Scenario_Library'!I63))/365)-'Hist_Financials'!D21 )-( (IFERROR(('Hist_Financials'!D6*(1+'Scenario_Library'!E63))*(1-(MAX(-0.5,MIN(0.9,IFERROR('Hist_Financials'!D8/'Hist_Financials'!D6,0)+'Scenario_Library'!F63/10000))))*(MAX(0,IFERROR('Hist_Financials'!D22/'Hist_Financials'!D7*365,0)+'Scenario_Library'!J63))/365,0))-'Hist_Financials'!D22 )+( (IFERROR(('Hist_Financials'!D6*(1+'Scenario_Library'!E63))*(1-(MAX(-0.5,MIN(0.9,IFERROR('Hist_Financials'!D8/'Hist_Financials'!D6,0)+'Scenario_Library'!F63/10000))))*(MAX(0,IFERROR('Hist_Financials'!D28/'Hist_Financials'!D7*365,0)+'Scenario_Library'!K63))/365,0))-'Hist_Financials'!D28 ))-('Hist_Financials'!D36*(1-'Scenario_Library'!P63))-('Hist_Financials'!D37*(1-'Scenario_Library'!Q63))-('Hist_Financials'!D38*(1-'Scenario_Library'!R63))-('Hist_Financials'!D27*(1-'Scenario_Library'!M63))-('Hist_Financials'!D30*'Scenario_Library'!N63*(1-'Scenario_Library'!O63)))) )/MAX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,0.01),99))</f>
        <v/>
      </c>
      <c r="M60" s="222">
        <f>IF('Hist_Financials'!D6=0,"",IFERROR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/MAX(((MAX(0,IFERROR('Hist_Financials'!D14/MAX('Hist_Financials'!D27+'Hist_Financials'!D30,1),0)+'Scenario_Library'!L63/10000))*('Hist_Financials'!D27+'Hist_Financials'!D30)),0.01),999))</f>
        <v/>
      </c>
      <c r="N60" s="218">
        <f>IF('Hist_Financials'!D6=0,"— NO DATA —",IF(OR((IFERROR(( (('Hist_Financials'!D27-('Hist_Financials'!D27*(1-'Scenario_Library'!M63)))+('Hist_Financials'!D30-('Hist_Financials'!D30*'Scenario_Library'!N63*(1-'Scenario_Library'!O63))))-(MAX(0,'Hist_Financials'!D20+((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-(MAX(0,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)*'Scenario_Library'!V63))+'Hist_Financials'!D12+('Hist_Financials'!D24*'Scenario_Library'!S63)+('Hist_Financials'!D25*'Scenario_Library'!T63)-( (('Hist_Financials'!D6*(1+'Scenario_Library'!E63))*(MAX(0,IFERROR('Hist_Financials'!D21/'Hist_Financials'!D6*365,0)+'Scenario_Library'!I63))/365)-'Hist_Financials'!D21 )-( (IFERROR(('Hist_Financials'!D6*(1+'Scenario_Library'!E63))*(1-(MAX(-0.5,MIN(0.9,IFERROR('Hist_Financials'!D8/'Hist_Financials'!D6,0)+'Scenario_Library'!F63/10000))))*(MAX(0,IFERROR('Hist_Financials'!D22/'Hist_Financials'!D7*365,0)+'Scenario_Library'!J63))/365,0))-'Hist_Financials'!D22 )+( (IFERROR(('Hist_Financials'!D6*(1+'Scenario_Library'!E63))*(1-(MAX(-0.5,MIN(0.9,IFERROR('Hist_Financials'!D8/'Hist_Financials'!D6,0)+'Scenario_Library'!F63/10000))))*(MAX(0,IFERROR('Hist_Financials'!D28/'Hist_Financials'!D7*365,0)+'Scenario_Library'!K63))/365,0))-'Hist_Financials'!D28 ))-('Hist_Financials'!D36*(1-'Scenario_Library'!P63))-('Hist_Financials'!D37*(1-'Scenario_Library'!Q63))-('Hist_Financials'!D38*(1-'Scenario_Library'!R63))-('Hist_Financials'!D27*(1-'Scenario_Library'!M63))-('Hist_Financials'!D30*'Scenario_Library'!N63*(1-'Scenario_Library'!O63)))) )/MAX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,0.01),99))&gt;'Scenario_Setup'!B13,(IFERROR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/MAX(((MAX(0,IFERROR('Hist_Financials'!D14/MAX('Hist_Financials'!D27+'Hist_Financials'!D30,1),0)+'Scenario_Library'!L63/10000))*('Hist_Financials'!D27+'Hist_Financials'!D30)),0.01),999))&lt;'Scenario_Setup'!B12,('Hist_Financials'!D32+(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-(MAX(0,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)*'Scenario_Library'!V63))-('Hist_Financials'!D37*(1-'Scenario_Library'!Q63))-('Hist_Financials'!D38*(1-'Scenario_Library'!R63)))&lt;0,(((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-(MAX(0,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)*'Scenario_Library'!V63))+'Hist_Financials'!D12+('Hist_Financials'!D24*'Scenario_Library'!S63)+('Hist_Financials'!D25*'Scenario_Library'!T63)-( (('Hist_Financials'!D6*(1+'Scenario_Library'!E63))*(MAX(0,IFERROR('Hist_Financials'!D21/'Hist_Financials'!D6*365,0)+'Scenario_Library'!I63))/365)-'Hist_Financials'!D21 )-( (IFERROR(('Hist_Financials'!D6*(1+'Scenario_Library'!E63))*(1-(MAX(-0.5,MIN(0.9,IFERROR('Hist_Financials'!D8/'Hist_Financials'!D6,0)+'Scenario_Library'!F63/10000))))*(MAX(0,IFERROR('Hist_Financials'!D22/'Hist_Financials'!D7*365,0)+'Scenario_Library'!J63))/365,0))-'Hist_Financials'!D22 )+( (IFERROR(('Hist_Financials'!D6*(1+'Scenario_Library'!E63))*(1-(MAX(-0.5,MIN(0.9,IFERROR('Hist_Financials'!D8/'Hist_Financials'!D6,0)+'Scenario_Library'!F63/10000))))*(MAX(0,IFERROR('Hist_Financials'!D28/'Hist_Financials'!D7*365,0)+'Scenario_Library'!K63))/365,0))-'Hist_Financials'!D28 ))-('Hist_Financials'!D36*(1-'Scenario_Library'!P63)))&lt;-0.2*'Hist_Financials'!D6),"CRITICAL",IF(AND((((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-(MAX(0,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)*'Scenario_Library'!V63))+'Hist_Financials'!D12+('Hist_Financials'!D24*'Scenario_Library'!S63)+('Hist_Financials'!D25*'Scenario_Library'!T63)-( (('Hist_Financials'!D6*(1+'Scenario_Library'!E63))*(MAX(0,IFERROR('Hist_Financials'!D21/'Hist_Financials'!D6*365,0)+'Scenario_Library'!I63))/365)-'Hist_Financials'!D21 )-( (IFERROR(('Hist_Financials'!D6*(1+'Scenario_Library'!E63))*(1-(MAX(-0.5,MIN(0.9,IFERROR('Hist_Financials'!D8/'Hist_Financials'!D6,0)+'Scenario_Library'!F63/10000))))*(MAX(0,IFERROR('Hist_Financials'!D22/'Hist_Financials'!D7*365,0)+'Scenario_Library'!J63))/365,0))-'Hist_Financials'!D22 )+( (IFERROR(('Hist_Financials'!D6*(1+'Scenario_Library'!E63))*(1-(MAX(-0.5,MIN(0.9,IFERROR('Hist_Financials'!D8/'Hist_Financials'!D6,0)+'Scenario_Library'!F63/10000))))*(MAX(0,IFERROR('Hist_Financials'!D28/'Hist_Financials'!D7*365,0)+'Scenario_Library'!K63))/365,0))-'Hist_Financials'!D28 ))-('Hist_Financials'!D36*(1-'Scenario_Library'!P63)))&gt;=0,(IFERROR(( (('Hist_Financials'!D27-('Hist_Financials'!D27*(1-'Scenario_Library'!M63)))+('Hist_Financials'!D30-('Hist_Financials'!D30*'Scenario_Library'!N63*(1-'Scenario_Library'!O63))))-(MAX(0,'Hist_Financials'!D20+((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-(MAX(0,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)*'Scenario_Library'!V63))+'Hist_Financials'!D12+('Hist_Financials'!D24*'Scenario_Library'!S63)+('Hist_Financials'!D25*'Scenario_Library'!T63)-( (('Hist_Financials'!D6*(1+'Scenario_Library'!E63))*(MAX(0,IFERROR('Hist_Financials'!D21/'Hist_Financials'!D6*365,0)+'Scenario_Library'!I63))/365)-'Hist_Financials'!D21 )-( (IFERROR(('Hist_Financials'!D6*(1+'Scenario_Library'!E63))*(1-(MAX(-0.5,MIN(0.9,IFERROR('Hist_Financials'!D8/'Hist_Financials'!D6,0)+'Scenario_Library'!F63/10000))))*(MAX(0,IFERROR('Hist_Financials'!D22/'Hist_Financials'!D7*365,0)+'Scenario_Library'!J63))/365,0))-'Hist_Financials'!D22 )+( (IFERROR(('Hist_Financials'!D6*(1+'Scenario_Library'!E63))*(1-(MAX(-0.5,MIN(0.9,IFERROR('Hist_Financials'!D8/'Hist_Financials'!D6,0)+'Scenario_Library'!F63/10000))))*(MAX(0,IFERROR('Hist_Financials'!D28/'Hist_Financials'!D7*365,0)+'Scenario_Library'!K63))/365,0))-'Hist_Financials'!D28 ))-('Hist_Financials'!D36*(1-'Scenario_Library'!P63))-('Hist_Financials'!D37*(1-'Scenario_Library'!Q63))-('Hist_Financials'!D38*(1-'Scenario_Library'!R63))-('Hist_Financials'!D27*(1-'Scenario_Library'!M63))-('Hist_Financials'!D30*'Scenario_Library'!N63*(1-'Scenario_Library'!O63)))) )/MAX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,0.01),99))&lt;3,(IFERROR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/MAX(((MAX(0,IFERROR('Hist_Financials'!D14/MAX('Hist_Financials'!D27+'Hist_Financials'!D30,1),0)+'Scenario_Library'!L63/10000))*('Hist_Financials'!D27+'Hist_Financials'!D30)),0.01),999))&gt;='Scenario_Setup'!B12,('Hist_Financials'!D32+(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-(MAX(0,((((('Hist_Financials'!D6*(1+'Scenario_Library'!E63))*(MAX(-0.5,MIN(0.9,IFERROR('Hist_Financials'!D8/'Hist_Financials'!D6,0)+'Scenario_Library'!F63/10000))))-(MAX(0,'Hist_Financials'!D9*(1+'Scenario_Setup'!B9*('Scenario_Library'!E63)+('Scenario_Library'!G63))))-(MAX(0,'Hist_Financials'!D10*(1+'Scenario_Library'!H63))))-'Hist_Financials'!D12)-((MAX(0,IFERROR('Hist_Financials'!D14/MAX('Hist_Financials'!D27+'Hist_Financials'!D30,1),0)+'Scenario_Library'!L63/10000))*('Hist_Financials'!D27+'Hist_Financials'!D30))-('Hist_Financials'!D24*'Scenario_Library'!S63)-('Hist_Financials'!D25*'Scenario_Library'!T63)-('Hist_Financials'!D6*'Scenario_Library'!U63)))*'Scenario_Library'!V63))-('Hist_Financials'!D37*(1-'Scenario_Library'!Q63))-('Hist_Financials'!D38*(1-'Scenario_Library'!R63)))&gt;0),"RESILIENT","WATCH")))</f>
        <v/>
      </c>
    </row>
    <row r="61" ht="17" customHeight="1" s="28">
      <c r="B61" s="223">
        <f>'Scenario_Library'!A64</f>
        <v/>
      </c>
      <c r="C61" s="224" t="inlineStr">
        <is>
          <t>Light</t>
        </is>
      </c>
      <c r="D61" s="225">
        <f>'Hist_Financials'!D6*(1+'Scenario_Library'!E64)</f>
        <v/>
      </c>
      <c r="E61" s="226">
        <f>('Hist_Financials'!D6*(1+'Scenario_Library'!E64))-'Hist_Financials'!D6</f>
        <v/>
      </c>
      <c r="F61" s="227">
        <f>IFERROR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/('Hist_Financials'!D6*(1+'Scenario_Library'!E64)),0)</f>
        <v/>
      </c>
      <c r="G61" s="225">
        <f>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</f>
        <v/>
      </c>
      <c r="H61" s="226">
        <f>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11</f>
        <v/>
      </c>
      <c r="I61" s="225">
        <f>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-(MAX(0,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)*'Scenario_Library'!V64)</f>
        <v/>
      </c>
      <c r="J61" s="225">
        <f>((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-(MAX(0,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)*'Scenario_Library'!V64))+'Hist_Financials'!D12+('Hist_Financials'!D24*'Scenario_Library'!S64)+('Hist_Financials'!D25*'Scenario_Library'!T64)-( (('Hist_Financials'!D6*(1+'Scenario_Library'!E64))*(MAX(0,IFERROR('Hist_Financials'!D21/'Hist_Financials'!D6*365,0)+'Scenario_Library'!I64))/365)-'Hist_Financials'!D21 )-( (IFERROR(('Hist_Financials'!D6*(1+'Scenario_Library'!E64))*(1-(MAX(-0.5,MIN(0.9,IFERROR('Hist_Financials'!D8/'Hist_Financials'!D6,0)+'Scenario_Library'!F64/10000))))*(MAX(0,IFERROR('Hist_Financials'!D22/'Hist_Financials'!D7*365,0)+'Scenario_Library'!J64))/365,0))-'Hist_Financials'!D22 )+( (IFERROR(('Hist_Financials'!D6*(1+'Scenario_Library'!E64))*(1-(MAX(-0.5,MIN(0.9,IFERROR('Hist_Financials'!D8/'Hist_Financials'!D6,0)+'Scenario_Library'!F64/10000))))*(MAX(0,IFERROR('Hist_Financials'!D28/'Hist_Financials'!D7*365,0)+'Scenario_Library'!K64))/365,0))-'Hist_Financials'!D28 ))-('Hist_Financials'!D36*(1-'Scenario_Library'!P64))</f>
        <v/>
      </c>
      <c r="K61" s="225">
        <f>MAX(0,'Hist_Financials'!D20+((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-(MAX(0,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)*'Scenario_Library'!V64))+'Hist_Financials'!D12+('Hist_Financials'!D24*'Scenario_Library'!S64)+('Hist_Financials'!D25*'Scenario_Library'!T64)-( (('Hist_Financials'!D6*(1+'Scenario_Library'!E64))*(MAX(0,IFERROR('Hist_Financials'!D21/'Hist_Financials'!D6*365,0)+'Scenario_Library'!I64))/365)-'Hist_Financials'!D21 )-( (IFERROR(('Hist_Financials'!D6*(1+'Scenario_Library'!E64))*(1-(MAX(-0.5,MIN(0.9,IFERROR('Hist_Financials'!D8/'Hist_Financials'!D6,0)+'Scenario_Library'!F64/10000))))*(MAX(0,IFERROR('Hist_Financials'!D22/'Hist_Financials'!D7*365,0)+'Scenario_Library'!J64))/365,0))-'Hist_Financials'!D22 )+( (IFERROR(('Hist_Financials'!D6*(1+'Scenario_Library'!E64))*(1-(MAX(-0.5,MIN(0.9,IFERROR('Hist_Financials'!D8/'Hist_Financials'!D6,0)+'Scenario_Library'!F64/10000))))*(MAX(0,IFERROR('Hist_Financials'!D28/'Hist_Financials'!D7*365,0)+'Scenario_Library'!K64))/365,0))-'Hist_Financials'!D28 ))-('Hist_Financials'!D36*(1-'Scenario_Library'!P64))-('Hist_Financials'!D37*(1-'Scenario_Library'!Q64))-('Hist_Financials'!D38*(1-'Scenario_Library'!R64))-('Hist_Financials'!D27*(1-'Scenario_Library'!M64))-('Hist_Financials'!D30*'Scenario_Library'!N64*(1-'Scenario_Library'!O64)))</f>
        <v/>
      </c>
      <c r="L61" s="228">
        <f>IF('Hist_Financials'!D6=0,"",IFERROR(( (('Hist_Financials'!D27-('Hist_Financials'!D27*(1-'Scenario_Library'!M64)))+('Hist_Financials'!D30-('Hist_Financials'!D30*'Scenario_Library'!N64*(1-'Scenario_Library'!O64))))-(MAX(0,'Hist_Financials'!D20+((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-(MAX(0,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)*'Scenario_Library'!V64))+'Hist_Financials'!D12+('Hist_Financials'!D24*'Scenario_Library'!S64)+('Hist_Financials'!D25*'Scenario_Library'!T64)-( (('Hist_Financials'!D6*(1+'Scenario_Library'!E64))*(MAX(0,IFERROR('Hist_Financials'!D21/'Hist_Financials'!D6*365,0)+'Scenario_Library'!I64))/365)-'Hist_Financials'!D21 )-( (IFERROR(('Hist_Financials'!D6*(1+'Scenario_Library'!E64))*(1-(MAX(-0.5,MIN(0.9,IFERROR('Hist_Financials'!D8/'Hist_Financials'!D6,0)+'Scenario_Library'!F64/10000))))*(MAX(0,IFERROR('Hist_Financials'!D22/'Hist_Financials'!D7*365,0)+'Scenario_Library'!J64))/365,0))-'Hist_Financials'!D22 )+( (IFERROR(('Hist_Financials'!D6*(1+'Scenario_Library'!E64))*(1-(MAX(-0.5,MIN(0.9,IFERROR('Hist_Financials'!D8/'Hist_Financials'!D6,0)+'Scenario_Library'!F64/10000))))*(MAX(0,IFERROR('Hist_Financials'!D28/'Hist_Financials'!D7*365,0)+'Scenario_Library'!K64))/365,0))-'Hist_Financials'!D28 ))-('Hist_Financials'!D36*(1-'Scenario_Library'!P64))-('Hist_Financials'!D37*(1-'Scenario_Library'!Q64))-('Hist_Financials'!D38*(1-'Scenario_Library'!R64))-('Hist_Financials'!D27*(1-'Scenario_Library'!M64))-('Hist_Financials'!D30*'Scenario_Library'!N64*(1-'Scenario_Library'!O64)))) )/MAX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,0.01),99))</f>
        <v/>
      </c>
      <c r="M61" s="228">
        <f>IF('Hist_Financials'!D6=0,"",IFERROR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/MAX(((MAX(0,IFERROR('Hist_Financials'!D14/MAX('Hist_Financials'!D27+'Hist_Financials'!D30,1),0)+'Scenario_Library'!L64/10000))*('Hist_Financials'!D27+'Hist_Financials'!D30)),0.01),999))</f>
        <v/>
      </c>
      <c r="N61" s="229">
        <f>IF('Hist_Financials'!D6=0,"— NO DATA —",IF(OR((IFERROR(( (('Hist_Financials'!D27-('Hist_Financials'!D27*(1-'Scenario_Library'!M64)))+('Hist_Financials'!D30-('Hist_Financials'!D30*'Scenario_Library'!N64*(1-'Scenario_Library'!O64))))-(MAX(0,'Hist_Financials'!D20+((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-(MAX(0,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)*'Scenario_Library'!V64))+'Hist_Financials'!D12+('Hist_Financials'!D24*'Scenario_Library'!S64)+('Hist_Financials'!D25*'Scenario_Library'!T64)-( (('Hist_Financials'!D6*(1+'Scenario_Library'!E64))*(MAX(0,IFERROR('Hist_Financials'!D21/'Hist_Financials'!D6*365,0)+'Scenario_Library'!I64))/365)-'Hist_Financials'!D21 )-( (IFERROR(('Hist_Financials'!D6*(1+'Scenario_Library'!E64))*(1-(MAX(-0.5,MIN(0.9,IFERROR('Hist_Financials'!D8/'Hist_Financials'!D6,0)+'Scenario_Library'!F64/10000))))*(MAX(0,IFERROR('Hist_Financials'!D22/'Hist_Financials'!D7*365,0)+'Scenario_Library'!J64))/365,0))-'Hist_Financials'!D22 )+( (IFERROR(('Hist_Financials'!D6*(1+'Scenario_Library'!E64))*(1-(MAX(-0.5,MIN(0.9,IFERROR('Hist_Financials'!D8/'Hist_Financials'!D6,0)+'Scenario_Library'!F64/10000))))*(MAX(0,IFERROR('Hist_Financials'!D28/'Hist_Financials'!D7*365,0)+'Scenario_Library'!K64))/365,0))-'Hist_Financials'!D28 ))-('Hist_Financials'!D36*(1-'Scenario_Library'!P64))-('Hist_Financials'!D37*(1-'Scenario_Library'!Q64))-('Hist_Financials'!D38*(1-'Scenario_Library'!R64))-('Hist_Financials'!D27*(1-'Scenario_Library'!M64))-('Hist_Financials'!D30*'Scenario_Library'!N64*(1-'Scenario_Library'!O64)))) )/MAX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,0.01),99))&gt;'Scenario_Setup'!B13,(IFERROR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/MAX(((MAX(0,IFERROR('Hist_Financials'!D14/MAX('Hist_Financials'!D27+'Hist_Financials'!D30,1),0)+'Scenario_Library'!L64/10000))*('Hist_Financials'!D27+'Hist_Financials'!D30)),0.01),999))&lt;'Scenario_Setup'!B12,('Hist_Financials'!D32+(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-(MAX(0,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)*'Scenario_Library'!V64))-('Hist_Financials'!D37*(1-'Scenario_Library'!Q64))-('Hist_Financials'!D38*(1-'Scenario_Library'!R64)))&lt;0,(((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-(MAX(0,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)*'Scenario_Library'!V64))+'Hist_Financials'!D12+('Hist_Financials'!D24*'Scenario_Library'!S64)+('Hist_Financials'!D25*'Scenario_Library'!T64)-( (('Hist_Financials'!D6*(1+'Scenario_Library'!E64))*(MAX(0,IFERROR('Hist_Financials'!D21/'Hist_Financials'!D6*365,0)+'Scenario_Library'!I64))/365)-'Hist_Financials'!D21 )-( (IFERROR(('Hist_Financials'!D6*(1+'Scenario_Library'!E64))*(1-(MAX(-0.5,MIN(0.9,IFERROR('Hist_Financials'!D8/'Hist_Financials'!D6,0)+'Scenario_Library'!F64/10000))))*(MAX(0,IFERROR('Hist_Financials'!D22/'Hist_Financials'!D7*365,0)+'Scenario_Library'!J64))/365,0))-'Hist_Financials'!D22 )+( (IFERROR(('Hist_Financials'!D6*(1+'Scenario_Library'!E64))*(1-(MAX(-0.5,MIN(0.9,IFERROR('Hist_Financials'!D8/'Hist_Financials'!D6,0)+'Scenario_Library'!F64/10000))))*(MAX(0,IFERROR('Hist_Financials'!D28/'Hist_Financials'!D7*365,0)+'Scenario_Library'!K64))/365,0))-'Hist_Financials'!D28 ))-('Hist_Financials'!D36*(1-'Scenario_Library'!P64)))&lt;-0.2*'Hist_Financials'!D6),"CRITICAL",IF(AND((((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-(MAX(0,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)*'Scenario_Library'!V64))+'Hist_Financials'!D12+('Hist_Financials'!D24*'Scenario_Library'!S64)+('Hist_Financials'!D25*'Scenario_Library'!T64)-( (('Hist_Financials'!D6*(1+'Scenario_Library'!E64))*(MAX(0,IFERROR('Hist_Financials'!D21/'Hist_Financials'!D6*365,0)+'Scenario_Library'!I64))/365)-'Hist_Financials'!D21 )-( (IFERROR(('Hist_Financials'!D6*(1+'Scenario_Library'!E64))*(1-(MAX(-0.5,MIN(0.9,IFERROR('Hist_Financials'!D8/'Hist_Financials'!D6,0)+'Scenario_Library'!F64/10000))))*(MAX(0,IFERROR('Hist_Financials'!D22/'Hist_Financials'!D7*365,0)+'Scenario_Library'!J64))/365,0))-'Hist_Financials'!D22 )+( (IFERROR(('Hist_Financials'!D6*(1+'Scenario_Library'!E64))*(1-(MAX(-0.5,MIN(0.9,IFERROR('Hist_Financials'!D8/'Hist_Financials'!D6,0)+'Scenario_Library'!F64/10000))))*(MAX(0,IFERROR('Hist_Financials'!D28/'Hist_Financials'!D7*365,0)+'Scenario_Library'!K64))/365,0))-'Hist_Financials'!D28 ))-('Hist_Financials'!D36*(1-'Scenario_Library'!P64)))&gt;=0,(IFERROR(( (('Hist_Financials'!D27-('Hist_Financials'!D27*(1-'Scenario_Library'!M64)))+('Hist_Financials'!D30-('Hist_Financials'!D30*'Scenario_Library'!N64*(1-'Scenario_Library'!O64))))-(MAX(0,'Hist_Financials'!D20+((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-(MAX(0,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)*'Scenario_Library'!V64))+'Hist_Financials'!D12+('Hist_Financials'!D24*'Scenario_Library'!S64)+('Hist_Financials'!D25*'Scenario_Library'!T64)-( (('Hist_Financials'!D6*(1+'Scenario_Library'!E64))*(MAX(0,IFERROR('Hist_Financials'!D21/'Hist_Financials'!D6*365,0)+'Scenario_Library'!I64))/365)-'Hist_Financials'!D21 )-( (IFERROR(('Hist_Financials'!D6*(1+'Scenario_Library'!E64))*(1-(MAX(-0.5,MIN(0.9,IFERROR('Hist_Financials'!D8/'Hist_Financials'!D6,0)+'Scenario_Library'!F64/10000))))*(MAX(0,IFERROR('Hist_Financials'!D22/'Hist_Financials'!D7*365,0)+'Scenario_Library'!J64))/365,0))-'Hist_Financials'!D22 )+( (IFERROR(('Hist_Financials'!D6*(1+'Scenario_Library'!E64))*(1-(MAX(-0.5,MIN(0.9,IFERROR('Hist_Financials'!D8/'Hist_Financials'!D6,0)+'Scenario_Library'!F64/10000))))*(MAX(0,IFERROR('Hist_Financials'!D28/'Hist_Financials'!D7*365,0)+'Scenario_Library'!K64))/365,0))-'Hist_Financials'!D28 ))-('Hist_Financials'!D36*(1-'Scenario_Library'!P64))-('Hist_Financials'!D37*(1-'Scenario_Library'!Q64))-('Hist_Financials'!D38*(1-'Scenario_Library'!R64))-('Hist_Financials'!D27*(1-'Scenario_Library'!M64))-('Hist_Financials'!D30*'Scenario_Library'!N64*(1-'Scenario_Library'!O64)))) )/MAX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,0.01),99))&lt;3,(IFERROR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/MAX(((MAX(0,IFERROR('Hist_Financials'!D14/MAX('Hist_Financials'!D27+'Hist_Financials'!D30,1),0)+'Scenario_Library'!L64/10000))*('Hist_Financials'!D27+'Hist_Financials'!D30)),0.01),999))&gt;='Scenario_Setup'!B12,('Hist_Financials'!D32+(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-(MAX(0,((((('Hist_Financials'!D6*(1+'Scenario_Library'!E64))*(MAX(-0.5,MIN(0.9,IFERROR('Hist_Financials'!D8/'Hist_Financials'!D6,0)+'Scenario_Library'!F64/10000))))-(MAX(0,'Hist_Financials'!D9*(1+'Scenario_Setup'!B9*('Scenario_Library'!E64)+('Scenario_Library'!G64))))-(MAX(0,'Hist_Financials'!D10*(1+'Scenario_Library'!H64))))-'Hist_Financials'!D12)-((MAX(0,IFERROR('Hist_Financials'!D14/MAX('Hist_Financials'!D27+'Hist_Financials'!D30,1),0)+'Scenario_Library'!L64/10000))*('Hist_Financials'!D27+'Hist_Financials'!D30))-('Hist_Financials'!D24*'Scenario_Library'!S64)-('Hist_Financials'!D25*'Scenario_Library'!T64)-('Hist_Financials'!D6*'Scenario_Library'!U64)))*'Scenario_Library'!V64))-('Hist_Financials'!D37*(1-'Scenario_Library'!Q64))-('Hist_Financials'!D38*(1-'Scenario_Library'!R64)))&gt;0),"RESILIENT","WATCH")))</f>
        <v/>
      </c>
    </row>
    <row r="62" ht="17" customHeight="1" s="28">
      <c r="B62" s="230">
        <f>'Scenario_Library'!A65</f>
        <v/>
      </c>
      <c r="C62" s="231" t="inlineStr">
        <is>
          <t>Base</t>
        </is>
      </c>
      <c r="D62" s="215">
        <f>'Hist_Financials'!D6*(1+'Scenario_Library'!E65)</f>
        <v/>
      </c>
      <c r="E62" s="213">
        <f>('Hist_Financials'!D6*(1+'Scenario_Library'!E65))-'Hist_Financials'!D6</f>
        <v/>
      </c>
      <c r="F62" s="214">
        <f>IFERROR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/('Hist_Financials'!D6*(1+'Scenario_Library'!E65)),0)</f>
        <v/>
      </c>
      <c r="G62" s="215">
        <f>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</f>
        <v/>
      </c>
      <c r="H62" s="213">
        <f>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11</f>
        <v/>
      </c>
      <c r="I62" s="215">
        <f>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-(MAX(0,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)*'Scenario_Library'!V65)</f>
        <v/>
      </c>
      <c r="J62" s="215">
        <f>((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-(MAX(0,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)*'Scenario_Library'!V65))+'Hist_Financials'!D12+('Hist_Financials'!D24*'Scenario_Library'!S65)+('Hist_Financials'!D25*'Scenario_Library'!T65)-( (('Hist_Financials'!D6*(1+'Scenario_Library'!E65))*(MAX(0,IFERROR('Hist_Financials'!D21/'Hist_Financials'!D6*365,0)+'Scenario_Library'!I65))/365)-'Hist_Financials'!D21 )-( (IFERROR(('Hist_Financials'!D6*(1+'Scenario_Library'!E65))*(1-(MAX(-0.5,MIN(0.9,IFERROR('Hist_Financials'!D8/'Hist_Financials'!D6,0)+'Scenario_Library'!F65/10000))))*(MAX(0,IFERROR('Hist_Financials'!D22/'Hist_Financials'!D7*365,0)+'Scenario_Library'!J65))/365,0))-'Hist_Financials'!D22 )+( (IFERROR(('Hist_Financials'!D6*(1+'Scenario_Library'!E65))*(1-(MAX(-0.5,MIN(0.9,IFERROR('Hist_Financials'!D8/'Hist_Financials'!D6,0)+'Scenario_Library'!F65/10000))))*(MAX(0,IFERROR('Hist_Financials'!D28/'Hist_Financials'!D7*365,0)+'Scenario_Library'!K65))/365,0))-'Hist_Financials'!D28 ))-('Hist_Financials'!D36*(1-'Scenario_Library'!P65))</f>
        <v/>
      </c>
      <c r="K62" s="215">
        <f>MAX(0,'Hist_Financials'!D20+((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-(MAX(0,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)*'Scenario_Library'!V65))+'Hist_Financials'!D12+('Hist_Financials'!D24*'Scenario_Library'!S65)+('Hist_Financials'!D25*'Scenario_Library'!T65)-( (('Hist_Financials'!D6*(1+'Scenario_Library'!E65))*(MAX(0,IFERROR('Hist_Financials'!D21/'Hist_Financials'!D6*365,0)+'Scenario_Library'!I65))/365)-'Hist_Financials'!D21 )-( (IFERROR(('Hist_Financials'!D6*(1+'Scenario_Library'!E65))*(1-(MAX(-0.5,MIN(0.9,IFERROR('Hist_Financials'!D8/'Hist_Financials'!D6,0)+'Scenario_Library'!F65/10000))))*(MAX(0,IFERROR('Hist_Financials'!D22/'Hist_Financials'!D7*365,0)+'Scenario_Library'!J65))/365,0))-'Hist_Financials'!D22 )+( (IFERROR(('Hist_Financials'!D6*(1+'Scenario_Library'!E65))*(1-(MAX(-0.5,MIN(0.9,IFERROR('Hist_Financials'!D8/'Hist_Financials'!D6,0)+'Scenario_Library'!F65/10000))))*(MAX(0,IFERROR('Hist_Financials'!D28/'Hist_Financials'!D7*365,0)+'Scenario_Library'!K65))/365,0))-'Hist_Financials'!D28 ))-('Hist_Financials'!D36*(1-'Scenario_Library'!P65))-('Hist_Financials'!D37*(1-'Scenario_Library'!Q65))-('Hist_Financials'!D38*(1-'Scenario_Library'!R65))-('Hist_Financials'!D27*(1-'Scenario_Library'!M65))-('Hist_Financials'!D30*'Scenario_Library'!N65*(1-'Scenario_Library'!O65)))</f>
        <v/>
      </c>
      <c r="L62" s="216">
        <f>IF('Hist_Financials'!D6=0,"",IFERROR(( (('Hist_Financials'!D27-('Hist_Financials'!D27*(1-'Scenario_Library'!M65)))+('Hist_Financials'!D30-('Hist_Financials'!D30*'Scenario_Library'!N65*(1-'Scenario_Library'!O65))))-(MAX(0,'Hist_Financials'!D20+((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-(MAX(0,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)*'Scenario_Library'!V65))+'Hist_Financials'!D12+('Hist_Financials'!D24*'Scenario_Library'!S65)+('Hist_Financials'!D25*'Scenario_Library'!T65)-( (('Hist_Financials'!D6*(1+'Scenario_Library'!E65))*(MAX(0,IFERROR('Hist_Financials'!D21/'Hist_Financials'!D6*365,0)+'Scenario_Library'!I65))/365)-'Hist_Financials'!D21 )-( (IFERROR(('Hist_Financials'!D6*(1+'Scenario_Library'!E65))*(1-(MAX(-0.5,MIN(0.9,IFERROR('Hist_Financials'!D8/'Hist_Financials'!D6,0)+'Scenario_Library'!F65/10000))))*(MAX(0,IFERROR('Hist_Financials'!D22/'Hist_Financials'!D7*365,0)+'Scenario_Library'!J65))/365,0))-'Hist_Financials'!D22 )+( (IFERROR(('Hist_Financials'!D6*(1+'Scenario_Library'!E65))*(1-(MAX(-0.5,MIN(0.9,IFERROR('Hist_Financials'!D8/'Hist_Financials'!D6,0)+'Scenario_Library'!F65/10000))))*(MAX(0,IFERROR('Hist_Financials'!D28/'Hist_Financials'!D7*365,0)+'Scenario_Library'!K65))/365,0))-'Hist_Financials'!D28 ))-('Hist_Financials'!D36*(1-'Scenario_Library'!P65))-('Hist_Financials'!D37*(1-'Scenario_Library'!Q65))-('Hist_Financials'!D38*(1-'Scenario_Library'!R65))-('Hist_Financials'!D27*(1-'Scenario_Library'!M65))-('Hist_Financials'!D30*'Scenario_Library'!N65*(1-'Scenario_Library'!O65)))) )/MAX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,0.01),99))</f>
        <v/>
      </c>
      <c r="M62" s="216">
        <f>IF('Hist_Financials'!D6=0,"",IFERROR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/MAX(((MAX(0,IFERROR('Hist_Financials'!D14/MAX('Hist_Financials'!D27+'Hist_Financials'!D30,1),0)+'Scenario_Library'!L65/10000))*('Hist_Financials'!D27+'Hist_Financials'!D30)),0.01),999))</f>
        <v/>
      </c>
      <c r="N62" s="212">
        <f>IF('Hist_Financials'!D6=0,"— NO DATA —",IF(OR((IFERROR(( (('Hist_Financials'!D27-('Hist_Financials'!D27*(1-'Scenario_Library'!M65)))+('Hist_Financials'!D30-('Hist_Financials'!D30*'Scenario_Library'!N65*(1-'Scenario_Library'!O65))))-(MAX(0,'Hist_Financials'!D20+((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-(MAX(0,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)*'Scenario_Library'!V65))+'Hist_Financials'!D12+('Hist_Financials'!D24*'Scenario_Library'!S65)+('Hist_Financials'!D25*'Scenario_Library'!T65)-( (('Hist_Financials'!D6*(1+'Scenario_Library'!E65))*(MAX(0,IFERROR('Hist_Financials'!D21/'Hist_Financials'!D6*365,0)+'Scenario_Library'!I65))/365)-'Hist_Financials'!D21 )-( (IFERROR(('Hist_Financials'!D6*(1+'Scenario_Library'!E65))*(1-(MAX(-0.5,MIN(0.9,IFERROR('Hist_Financials'!D8/'Hist_Financials'!D6,0)+'Scenario_Library'!F65/10000))))*(MAX(0,IFERROR('Hist_Financials'!D22/'Hist_Financials'!D7*365,0)+'Scenario_Library'!J65))/365,0))-'Hist_Financials'!D22 )+( (IFERROR(('Hist_Financials'!D6*(1+'Scenario_Library'!E65))*(1-(MAX(-0.5,MIN(0.9,IFERROR('Hist_Financials'!D8/'Hist_Financials'!D6,0)+'Scenario_Library'!F65/10000))))*(MAX(0,IFERROR('Hist_Financials'!D28/'Hist_Financials'!D7*365,0)+'Scenario_Library'!K65))/365,0))-'Hist_Financials'!D28 ))-('Hist_Financials'!D36*(1-'Scenario_Library'!P65))-('Hist_Financials'!D37*(1-'Scenario_Library'!Q65))-('Hist_Financials'!D38*(1-'Scenario_Library'!R65))-('Hist_Financials'!D27*(1-'Scenario_Library'!M65))-('Hist_Financials'!D30*'Scenario_Library'!N65*(1-'Scenario_Library'!O65)))) )/MAX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,0.01),99))&gt;'Scenario_Setup'!B13,(IFERROR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/MAX(((MAX(0,IFERROR('Hist_Financials'!D14/MAX('Hist_Financials'!D27+'Hist_Financials'!D30,1),0)+'Scenario_Library'!L65/10000))*('Hist_Financials'!D27+'Hist_Financials'!D30)),0.01),999))&lt;'Scenario_Setup'!B12,('Hist_Financials'!D32+(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-(MAX(0,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)*'Scenario_Library'!V65))-('Hist_Financials'!D37*(1-'Scenario_Library'!Q65))-('Hist_Financials'!D38*(1-'Scenario_Library'!R65)))&lt;0,(((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-(MAX(0,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)*'Scenario_Library'!V65))+'Hist_Financials'!D12+('Hist_Financials'!D24*'Scenario_Library'!S65)+('Hist_Financials'!D25*'Scenario_Library'!T65)-( (('Hist_Financials'!D6*(1+'Scenario_Library'!E65))*(MAX(0,IFERROR('Hist_Financials'!D21/'Hist_Financials'!D6*365,0)+'Scenario_Library'!I65))/365)-'Hist_Financials'!D21 )-( (IFERROR(('Hist_Financials'!D6*(1+'Scenario_Library'!E65))*(1-(MAX(-0.5,MIN(0.9,IFERROR('Hist_Financials'!D8/'Hist_Financials'!D6,0)+'Scenario_Library'!F65/10000))))*(MAX(0,IFERROR('Hist_Financials'!D22/'Hist_Financials'!D7*365,0)+'Scenario_Library'!J65))/365,0))-'Hist_Financials'!D22 )+( (IFERROR(('Hist_Financials'!D6*(1+'Scenario_Library'!E65))*(1-(MAX(-0.5,MIN(0.9,IFERROR('Hist_Financials'!D8/'Hist_Financials'!D6,0)+'Scenario_Library'!F65/10000))))*(MAX(0,IFERROR('Hist_Financials'!D28/'Hist_Financials'!D7*365,0)+'Scenario_Library'!K65))/365,0))-'Hist_Financials'!D28 ))-('Hist_Financials'!D36*(1-'Scenario_Library'!P65)))&lt;-0.2*'Hist_Financials'!D6),"CRITICAL",IF(AND((((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-(MAX(0,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)*'Scenario_Library'!V65))+'Hist_Financials'!D12+('Hist_Financials'!D24*'Scenario_Library'!S65)+('Hist_Financials'!D25*'Scenario_Library'!T65)-( (('Hist_Financials'!D6*(1+'Scenario_Library'!E65))*(MAX(0,IFERROR('Hist_Financials'!D21/'Hist_Financials'!D6*365,0)+'Scenario_Library'!I65))/365)-'Hist_Financials'!D21 )-( (IFERROR(('Hist_Financials'!D6*(1+'Scenario_Library'!E65))*(1-(MAX(-0.5,MIN(0.9,IFERROR('Hist_Financials'!D8/'Hist_Financials'!D6,0)+'Scenario_Library'!F65/10000))))*(MAX(0,IFERROR('Hist_Financials'!D22/'Hist_Financials'!D7*365,0)+'Scenario_Library'!J65))/365,0))-'Hist_Financials'!D22 )+( (IFERROR(('Hist_Financials'!D6*(1+'Scenario_Library'!E65))*(1-(MAX(-0.5,MIN(0.9,IFERROR('Hist_Financials'!D8/'Hist_Financials'!D6,0)+'Scenario_Library'!F65/10000))))*(MAX(0,IFERROR('Hist_Financials'!D28/'Hist_Financials'!D7*365,0)+'Scenario_Library'!K65))/365,0))-'Hist_Financials'!D28 ))-('Hist_Financials'!D36*(1-'Scenario_Library'!P65)))&gt;=0,(IFERROR(( (('Hist_Financials'!D27-('Hist_Financials'!D27*(1-'Scenario_Library'!M65)))+('Hist_Financials'!D30-('Hist_Financials'!D30*'Scenario_Library'!N65*(1-'Scenario_Library'!O65))))-(MAX(0,'Hist_Financials'!D20+((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-(MAX(0,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)*'Scenario_Library'!V65))+'Hist_Financials'!D12+('Hist_Financials'!D24*'Scenario_Library'!S65)+('Hist_Financials'!D25*'Scenario_Library'!T65)-( (('Hist_Financials'!D6*(1+'Scenario_Library'!E65))*(MAX(0,IFERROR('Hist_Financials'!D21/'Hist_Financials'!D6*365,0)+'Scenario_Library'!I65))/365)-'Hist_Financials'!D21 )-( (IFERROR(('Hist_Financials'!D6*(1+'Scenario_Library'!E65))*(1-(MAX(-0.5,MIN(0.9,IFERROR('Hist_Financials'!D8/'Hist_Financials'!D6,0)+'Scenario_Library'!F65/10000))))*(MAX(0,IFERROR('Hist_Financials'!D22/'Hist_Financials'!D7*365,0)+'Scenario_Library'!J65))/365,0))-'Hist_Financials'!D22 )+( (IFERROR(('Hist_Financials'!D6*(1+'Scenario_Library'!E65))*(1-(MAX(-0.5,MIN(0.9,IFERROR('Hist_Financials'!D8/'Hist_Financials'!D6,0)+'Scenario_Library'!F65/10000))))*(MAX(0,IFERROR('Hist_Financials'!D28/'Hist_Financials'!D7*365,0)+'Scenario_Library'!K65))/365,0))-'Hist_Financials'!D28 ))-('Hist_Financials'!D36*(1-'Scenario_Library'!P65))-('Hist_Financials'!D37*(1-'Scenario_Library'!Q65))-('Hist_Financials'!D38*(1-'Scenario_Library'!R65))-('Hist_Financials'!D27*(1-'Scenario_Library'!M65))-('Hist_Financials'!D30*'Scenario_Library'!N65*(1-'Scenario_Library'!O65)))) )/MAX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,0.01),99))&lt;3,(IFERROR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/MAX(((MAX(0,IFERROR('Hist_Financials'!D14/MAX('Hist_Financials'!D27+'Hist_Financials'!D30,1),0)+'Scenario_Library'!L65/10000))*('Hist_Financials'!D27+'Hist_Financials'!D30)),0.01),999))&gt;='Scenario_Setup'!B12,('Hist_Financials'!D32+(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-(MAX(0,((((('Hist_Financials'!D6*(1+'Scenario_Library'!E65))*(MAX(-0.5,MIN(0.9,IFERROR('Hist_Financials'!D8/'Hist_Financials'!D6,0)+'Scenario_Library'!F65/10000))))-(MAX(0,'Hist_Financials'!D9*(1+'Scenario_Setup'!B9*('Scenario_Library'!E65)+('Scenario_Library'!G65))))-(MAX(0,'Hist_Financials'!D10*(1+'Scenario_Library'!H65))))-'Hist_Financials'!D12)-((MAX(0,IFERROR('Hist_Financials'!D14/MAX('Hist_Financials'!D27+'Hist_Financials'!D30,1),0)+'Scenario_Library'!L65/10000))*('Hist_Financials'!D27+'Hist_Financials'!D30))-('Hist_Financials'!D24*'Scenario_Library'!S65)-('Hist_Financials'!D25*'Scenario_Library'!T65)-('Hist_Financials'!D6*'Scenario_Library'!U65)))*'Scenario_Library'!V65))-('Hist_Financials'!D37*(1-'Scenario_Library'!Q65))-('Hist_Financials'!D38*(1-'Scenario_Library'!R65)))&gt;0),"RESILIENT","WATCH")))</f>
        <v/>
      </c>
    </row>
    <row r="63" ht="17" customHeight="1" s="28">
      <c r="B63" s="230">
        <f>'Scenario_Library'!A66</f>
        <v/>
      </c>
      <c r="C63" s="232" t="inlineStr">
        <is>
          <t>Severe</t>
        </is>
      </c>
      <c r="D63" s="221">
        <f>'Hist_Financials'!D6*(1+'Scenario_Library'!E66)</f>
        <v/>
      </c>
      <c r="E63" s="219">
        <f>('Hist_Financials'!D6*(1+'Scenario_Library'!E66))-'Hist_Financials'!D6</f>
        <v/>
      </c>
      <c r="F63" s="220">
        <f>IFERROR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/('Hist_Financials'!D6*(1+'Scenario_Library'!E66)),0)</f>
        <v/>
      </c>
      <c r="G63" s="221">
        <f>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</f>
        <v/>
      </c>
      <c r="H63" s="219">
        <f>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11</f>
        <v/>
      </c>
      <c r="I63" s="221">
        <f>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-(MAX(0,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)*'Scenario_Library'!V66)</f>
        <v/>
      </c>
      <c r="J63" s="221">
        <f>((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-(MAX(0,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)*'Scenario_Library'!V66))+'Hist_Financials'!D12+('Hist_Financials'!D24*'Scenario_Library'!S66)+('Hist_Financials'!D25*'Scenario_Library'!T66)-( (('Hist_Financials'!D6*(1+'Scenario_Library'!E66))*(MAX(0,IFERROR('Hist_Financials'!D21/'Hist_Financials'!D6*365,0)+'Scenario_Library'!I66))/365)-'Hist_Financials'!D21 )-( (IFERROR(('Hist_Financials'!D6*(1+'Scenario_Library'!E66))*(1-(MAX(-0.5,MIN(0.9,IFERROR('Hist_Financials'!D8/'Hist_Financials'!D6,0)+'Scenario_Library'!F66/10000))))*(MAX(0,IFERROR('Hist_Financials'!D22/'Hist_Financials'!D7*365,0)+'Scenario_Library'!J66))/365,0))-'Hist_Financials'!D22 )+( (IFERROR(('Hist_Financials'!D6*(1+'Scenario_Library'!E66))*(1-(MAX(-0.5,MIN(0.9,IFERROR('Hist_Financials'!D8/'Hist_Financials'!D6,0)+'Scenario_Library'!F66/10000))))*(MAX(0,IFERROR('Hist_Financials'!D28/'Hist_Financials'!D7*365,0)+'Scenario_Library'!K66))/365,0))-'Hist_Financials'!D28 ))-('Hist_Financials'!D36*(1-'Scenario_Library'!P66))</f>
        <v/>
      </c>
      <c r="K63" s="221">
        <f>MAX(0,'Hist_Financials'!D20+((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-(MAX(0,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)*'Scenario_Library'!V66))+'Hist_Financials'!D12+('Hist_Financials'!D24*'Scenario_Library'!S66)+('Hist_Financials'!D25*'Scenario_Library'!T66)-( (('Hist_Financials'!D6*(1+'Scenario_Library'!E66))*(MAX(0,IFERROR('Hist_Financials'!D21/'Hist_Financials'!D6*365,0)+'Scenario_Library'!I66))/365)-'Hist_Financials'!D21 )-( (IFERROR(('Hist_Financials'!D6*(1+'Scenario_Library'!E66))*(1-(MAX(-0.5,MIN(0.9,IFERROR('Hist_Financials'!D8/'Hist_Financials'!D6,0)+'Scenario_Library'!F66/10000))))*(MAX(0,IFERROR('Hist_Financials'!D22/'Hist_Financials'!D7*365,0)+'Scenario_Library'!J66))/365,0))-'Hist_Financials'!D22 )+( (IFERROR(('Hist_Financials'!D6*(1+'Scenario_Library'!E66))*(1-(MAX(-0.5,MIN(0.9,IFERROR('Hist_Financials'!D8/'Hist_Financials'!D6,0)+'Scenario_Library'!F66/10000))))*(MAX(0,IFERROR('Hist_Financials'!D28/'Hist_Financials'!D7*365,0)+'Scenario_Library'!K66))/365,0))-'Hist_Financials'!D28 ))-('Hist_Financials'!D36*(1-'Scenario_Library'!P66))-('Hist_Financials'!D37*(1-'Scenario_Library'!Q66))-('Hist_Financials'!D38*(1-'Scenario_Library'!R66))-('Hist_Financials'!D27*(1-'Scenario_Library'!M66))-('Hist_Financials'!D30*'Scenario_Library'!N66*(1-'Scenario_Library'!O66)))</f>
        <v/>
      </c>
      <c r="L63" s="222">
        <f>IF('Hist_Financials'!D6=0,"",IFERROR(( (('Hist_Financials'!D27-('Hist_Financials'!D27*(1-'Scenario_Library'!M66)))+('Hist_Financials'!D30-('Hist_Financials'!D30*'Scenario_Library'!N66*(1-'Scenario_Library'!O66))))-(MAX(0,'Hist_Financials'!D20+((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-(MAX(0,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)*'Scenario_Library'!V66))+'Hist_Financials'!D12+('Hist_Financials'!D24*'Scenario_Library'!S66)+('Hist_Financials'!D25*'Scenario_Library'!T66)-( (('Hist_Financials'!D6*(1+'Scenario_Library'!E66))*(MAX(0,IFERROR('Hist_Financials'!D21/'Hist_Financials'!D6*365,0)+'Scenario_Library'!I66))/365)-'Hist_Financials'!D21 )-( (IFERROR(('Hist_Financials'!D6*(1+'Scenario_Library'!E66))*(1-(MAX(-0.5,MIN(0.9,IFERROR('Hist_Financials'!D8/'Hist_Financials'!D6,0)+'Scenario_Library'!F66/10000))))*(MAX(0,IFERROR('Hist_Financials'!D22/'Hist_Financials'!D7*365,0)+'Scenario_Library'!J66))/365,0))-'Hist_Financials'!D22 )+( (IFERROR(('Hist_Financials'!D6*(1+'Scenario_Library'!E66))*(1-(MAX(-0.5,MIN(0.9,IFERROR('Hist_Financials'!D8/'Hist_Financials'!D6,0)+'Scenario_Library'!F66/10000))))*(MAX(0,IFERROR('Hist_Financials'!D28/'Hist_Financials'!D7*365,0)+'Scenario_Library'!K66))/365,0))-'Hist_Financials'!D28 ))-('Hist_Financials'!D36*(1-'Scenario_Library'!P66))-('Hist_Financials'!D37*(1-'Scenario_Library'!Q66))-('Hist_Financials'!D38*(1-'Scenario_Library'!R66))-('Hist_Financials'!D27*(1-'Scenario_Library'!M66))-('Hist_Financials'!D30*'Scenario_Library'!N66*(1-'Scenario_Library'!O66)))) )/MAX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,0.01),99))</f>
        <v/>
      </c>
      <c r="M63" s="222">
        <f>IF('Hist_Financials'!D6=0,"",IFERROR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/MAX(((MAX(0,IFERROR('Hist_Financials'!D14/MAX('Hist_Financials'!D27+'Hist_Financials'!D30,1),0)+'Scenario_Library'!L66/10000))*('Hist_Financials'!D27+'Hist_Financials'!D30)),0.01),999))</f>
        <v/>
      </c>
      <c r="N63" s="218">
        <f>IF('Hist_Financials'!D6=0,"— NO DATA —",IF(OR((IFERROR(( (('Hist_Financials'!D27-('Hist_Financials'!D27*(1-'Scenario_Library'!M66)))+('Hist_Financials'!D30-('Hist_Financials'!D30*'Scenario_Library'!N66*(1-'Scenario_Library'!O66))))-(MAX(0,'Hist_Financials'!D20+((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-(MAX(0,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)*'Scenario_Library'!V66))+'Hist_Financials'!D12+('Hist_Financials'!D24*'Scenario_Library'!S66)+('Hist_Financials'!D25*'Scenario_Library'!T66)-( (('Hist_Financials'!D6*(1+'Scenario_Library'!E66))*(MAX(0,IFERROR('Hist_Financials'!D21/'Hist_Financials'!D6*365,0)+'Scenario_Library'!I66))/365)-'Hist_Financials'!D21 )-( (IFERROR(('Hist_Financials'!D6*(1+'Scenario_Library'!E66))*(1-(MAX(-0.5,MIN(0.9,IFERROR('Hist_Financials'!D8/'Hist_Financials'!D6,0)+'Scenario_Library'!F66/10000))))*(MAX(0,IFERROR('Hist_Financials'!D22/'Hist_Financials'!D7*365,0)+'Scenario_Library'!J66))/365,0))-'Hist_Financials'!D22 )+( (IFERROR(('Hist_Financials'!D6*(1+'Scenario_Library'!E66))*(1-(MAX(-0.5,MIN(0.9,IFERROR('Hist_Financials'!D8/'Hist_Financials'!D6,0)+'Scenario_Library'!F66/10000))))*(MAX(0,IFERROR('Hist_Financials'!D28/'Hist_Financials'!D7*365,0)+'Scenario_Library'!K66))/365,0))-'Hist_Financials'!D28 ))-('Hist_Financials'!D36*(1-'Scenario_Library'!P66))-('Hist_Financials'!D37*(1-'Scenario_Library'!Q66))-('Hist_Financials'!D38*(1-'Scenario_Library'!R66))-('Hist_Financials'!D27*(1-'Scenario_Library'!M66))-('Hist_Financials'!D30*'Scenario_Library'!N66*(1-'Scenario_Library'!O66)))) )/MAX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,0.01),99))&gt;'Scenario_Setup'!B13,(IFERROR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/MAX(((MAX(0,IFERROR('Hist_Financials'!D14/MAX('Hist_Financials'!D27+'Hist_Financials'!D30,1),0)+'Scenario_Library'!L66/10000))*('Hist_Financials'!D27+'Hist_Financials'!D30)),0.01),999))&lt;'Scenario_Setup'!B12,('Hist_Financials'!D32+(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-(MAX(0,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)*'Scenario_Library'!V66))-('Hist_Financials'!D37*(1-'Scenario_Library'!Q66))-('Hist_Financials'!D38*(1-'Scenario_Library'!R66)))&lt;0,(((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-(MAX(0,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)*'Scenario_Library'!V66))+'Hist_Financials'!D12+('Hist_Financials'!D24*'Scenario_Library'!S66)+('Hist_Financials'!D25*'Scenario_Library'!T66)-( (('Hist_Financials'!D6*(1+'Scenario_Library'!E66))*(MAX(0,IFERROR('Hist_Financials'!D21/'Hist_Financials'!D6*365,0)+'Scenario_Library'!I66))/365)-'Hist_Financials'!D21 )-( (IFERROR(('Hist_Financials'!D6*(1+'Scenario_Library'!E66))*(1-(MAX(-0.5,MIN(0.9,IFERROR('Hist_Financials'!D8/'Hist_Financials'!D6,0)+'Scenario_Library'!F66/10000))))*(MAX(0,IFERROR('Hist_Financials'!D22/'Hist_Financials'!D7*365,0)+'Scenario_Library'!J66))/365,0))-'Hist_Financials'!D22 )+( (IFERROR(('Hist_Financials'!D6*(1+'Scenario_Library'!E66))*(1-(MAX(-0.5,MIN(0.9,IFERROR('Hist_Financials'!D8/'Hist_Financials'!D6,0)+'Scenario_Library'!F66/10000))))*(MAX(0,IFERROR('Hist_Financials'!D28/'Hist_Financials'!D7*365,0)+'Scenario_Library'!K66))/365,0))-'Hist_Financials'!D28 ))-('Hist_Financials'!D36*(1-'Scenario_Library'!P66)))&lt;-0.2*'Hist_Financials'!D6),"CRITICAL",IF(AND((((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-(MAX(0,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)*'Scenario_Library'!V66))+'Hist_Financials'!D12+('Hist_Financials'!D24*'Scenario_Library'!S66)+('Hist_Financials'!D25*'Scenario_Library'!T66)-( (('Hist_Financials'!D6*(1+'Scenario_Library'!E66))*(MAX(0,IFERROR('Hist_Financials'!D21/'Hist_Financials'!D6*365,0)+'Scenario_Library'!I66))/365)-'Hist_Financials'!D21 )-( (IFERROR(('Hist_Financials'!D6*(1+'Scenario_Library'!E66))*(1-(MAX(-0.5,MIN(0.9,IFERROR('Hist_Financials'!D8/'Hist_Financials'!D6,0)+'Scenario_Library'!F66/10000))))*(MAX(0,IFERROR('Hist_Financials'!D22/'Hist_Financials'!D7*365,0)+'Scenario_Library'!J66))/365,0))-'Hist_Financials'!D22 )+( (IFERROR(('Hist_Financials'!D6*(1+'Scenario_Library'!E66))*(1-(MAX(-0.5,MIN(0.9,IFERROR('Hist_Financials'!D8/'Hist_Financials'!D6,0)+'Scenario_Library'!F66/10000))))*(MAX(0,IFERROR('Hist_Financials'!D28/'Hist_Financials'!D7*365,0)+'Scenario_Library'!K66))/365,0))-'Hist_Financials'!D28 ))-('Hist_Financials'!D36*(1-'Scenario_Library'!P66)))&gt;=0,(IFERROR(( (('Hist_Financials'!D27-('Hist_Financials'!D27*(1-'Scenario_Library'!M66)))+('Hist_Financials'!D30-('Hist_Financials'!D30*'Scenario_Library'!N66*(1-'Scenario_Library'!O66))))-(MAX(0,'Hist_Financials'!D20+((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-(MAX(0,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)*'Scenario_Library'!V66))+'Hist_Financials'!D12+('Hist_Financials'!D24*'Scenario_Library'!S66)+('Hist_Financials'!D25*'Scenario_Library'!T66)-( (('Hist_Financials'!D6*(1+'Scenario_Library'!E66))*(MAX(0,IFERROR('Hist_Financials'!D21/'Hist_Financials'!D6*365,0)+'Scenario_Library'!I66))/365)-'Hist_Financials'!D21 )-( (IFERROR(('Hist_Financials'!D6*(1+'Scenario_Library'!E66))*(1-(MAX(-0.5,MIN(0.9,IFERROR('Hist_Financials'!D8/'Hist_Financials'!D6,0)+'Scenario_Library'!F66/10000))))*(MAX(0,IFERROR('Hist_Financials'!D22/'Hist_Financials'!D7*365,0)+'Scenario_Library'!J66))/365,0))-'Hist_Financials'!D22 )+( (IFERROR(('Hist_Financials'!D6*(1+'Scenario_Library'!E66))*(1-(MAX(-0.5,MIN(0.9,IFERROR('Hist_Financials'!D8/'Hist_Financials'!D6,0)+'Scenario_Library'!F66/10000))))*(MAX(0,IFERROR('Hist_Financials'!D28/'Hist_Financials'!D7*365,0)+'Scenario_Library'!K66))/365,0))-'Hist_Financials'!D28 ))-('Hist_Financials'!D36*(1-'Scenario_Library'!P66))-('Hist_Financials'!D37*(1-'Scenario_Library'!Q66))-('Hist_Financials'!D38*(1-'Scenario_Library'!R66))-('Hist_Financials'!D27*(1-'Scenario_Library'!M66))-('Hist_Financials'!D30*'Scenario_Library'!N66*(1-'Scenario_Library'!O66)))) )/MAX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,0.01),99))&lt;3,(IFERROR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/MAX(((MAX(0,IFERROR('Hist_Financials'!D14/MAX('Hist_Financials'!D27+'Hist_Financials'!D30,1),0)+'Scenario_Library'!L66/10000))*('Hist_Financials'!D27+'Hist_Financials'!D30)),0.01),999))&gt;='Scenario_Setup'!B12,('Hist_Financials'!D32+(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-(MAX(0,((((('Hist_Financials'!D6*(1+'Scenario_Library'!E66))*(MAX(-0.5,MIN(0.9,IFERROR('Hist_Financials'!D8/'Hist_Financials'!D6,0)+'Scenario_Library'!F66/10000))))-(MAX(0,'Hist_Financials'!D9*(1+'Scenario_Setup'!B9*('Scenario_Library'!E66)+('Scenario_Library'!G66))))-(MAX(0,'Hist_Financials'!D10*(1+'Scenario_Library'!H66))))-'Hist_Financials'!D12)-((MAX(0,IFERROR('Hist_Financials'!D14/MAX('Hist_Financials'!D27+'Hist_Financials'!D30,1),0)+'Scenario_Library'!L66/10000))*('Hist_Financials'!D27+'Hist_Financials'!D30))-('Hist_Financials'!D24*'Scenario_Library'!S66)-('Hist_Financials'!D25*'Scenario_Library'!T66)-('Hist_Financials'!D6*'Scenario_Library'!U66)))*'Scenario_Library'!V66))-('Hist_Financials'!D37*(1-'Scenario_Library'!Q66))-('Hist_Financials'!D38*(1-'Scenario_Library'!R66)))&gt;0),"RESILIENT","WATCH")))</f>
        <v/>
      </c>
    </row>
  </sheetData>
  <mergeCells count="2">
    <mergeCell ref="B1:N1"/>
    <mergeCell ref="B2:N2"/>
  </mergeCells>
  <conditionalFormatting sqref="N4:N63">
    <cfRule type="cellIs" priority="1" operator="equal" dxfId="6">
      <formula>"CRITICAL"</formula>
    </cfRule>
    <cfRule type="cellIs" priority="2" operator="equal" dxfId="5">
      <formula>"RESILIENT"</formula>
    </cfRule>
    <cfRule type="cellIs" priority="3" operator="equal" dxfId="7">
      <formula>"WATCH"</formula>
    </cfRule>
    <cfRule type="cellIs" priority="6" operator="equal" dxfId="6">
      <formula>"CRITICAL"</formula>
    </cfRule>
    <cfRule type="cellIs" priority="7" operator="equal" dxfId="5">
      <formula>"RESILIENT"</formula>
    </cfRule>
    <cfRule type="cellIs" priority="8" operator="equal" dxfId="8">
      <formula>"WATCH"</formula>
    </cfRule>
  </conditionalFormatting>
  <conditionalFormatting sqref="J4:J63">
    <cfRule type="cellIs" priority="4" operator="lessThan" dxfId="3">
      <formula>0</formula>
    </cfRule>
    <cfRule type="cellIs" priority="13" operator="lessThan" dxfId="3">
      <formula>0</formula>
    </cfRule>
    <cfRule type="cellIs" priority="14" operator="greaterThan" dxfId="4">
      <formula>0</formula>
    </cfRule>
  </conditionalFormatting>
  <conditionalFormatting sqref="L4:L63">
    <cfRule type="cellIs" priority="5" operator="greaterThan" dxfId="3">
      <formula>'Scenario_Setup'!B13</formula>
    </cfRule>
  </conditionalFormatting>
  <conditionalFormatting sqref="E4:E63">
    <cfRule type="cellIs" priority="9" operator="lessThan" dxfId="3">
      <formula>0</formula>
    </cfRule>
    <cfRule type="cellIs" priority="10" operator="greaterThan" dxfId="4">
      <formula>0</formula>
    </cfRule>
  </conditionalFormatting>
  <conditionalFormatting sqref="I4:I63">
    <cfRule type="cellIs" priority="11" operator="lessThan" dxfId="3">
      <formula>0</formula>
    </cfRule>
    <cfRule type="cellIs" priority="12" operator="greaterThan" dxfId="4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E34"/>
    <outlinePr summaryBelow="1" summaryRight="1"/>
    <pageSetUpPr/>
  </sheetPr>
  <dimension ref="B1:N25"/>
  <sheetViews>
    <sheetView showGridLines="0" workbookViewId="0">
      <selection activeCell="A1" sqref="A1"/>
    </sheetView>
  </sheetViews>
  <sheetFormatPr baseColWidth="8" defaultRowHeight="15"/>
  <cols>
    <col width="2" customWidth="1" style="28" min="1" max="1"/>
    <col width="32" customWidth="1" style="28" min="2" max="2"/>
    <col width="16" customWidth="1" style="28" min="3" max="3"/>
    <col width="4" customWidth="1" style="28" min="4" max="4"/>
    <col width="16" customWidth="1" style="28" min="5" max="5"/>
    <col width="14" customWidth="1" style="28" min="6" max="6"/>
    <col width="4" customWidth="1" style="28" min="7" max="7"/>
    <col width="16" customWidth="1" style="28" min="8" max="8"/>
    <col width="14" customWidth="1" style="28" min="9" max="9"/>
    <col width="4" customWidth="1" style="28" min="10" max="10"/>
    <col width="16" customWidth="1" style="28" min="11" max="11"/>
    <col width="14" customWidth="1" style="28" min="12" max="12"/>
    <col width="2" customWidth="1" style="28" min="13" max="13"/>
    <col width="2" customWidth="1" style="28" min="14" max="14"/>
  </cols>
  <sheetData>
    <row r="1" ht="32" customHeight="1" s="28">
      <c r="B1" s="35" t="inlineStr">
        <is>
          <t>MULTI-SCENARIO COMPARISON  —  Light / Base / Severe Side-by-Side</t>
        </is>
      </c>
    </row>
    <row r="2" ht="22" customHeight="1" s="28">
      <c r="B2" s="36" t="inlineStr">
        <is>
          <t>Shows stressed outcomes for all three severity levels of the active sequence. Change the sequence in Scenario_Setup to update this table automatically.</t>
        </is>
      </c>
    </row>
    <row r="3" ht="26" customHeight="1" s="28">
      <c r="B3" s="37">
        <f>CONCAT("Active Sequence: ",Scenario_Setup!B3)</f>
        <v/>
      </c>
    </row>
    <row r="4" ht="24" customHeight="1" s="28">
      <c r="C4" s="38" t="inlineStr">
        <is>
          <t>BASE CASE</t>
        </is>
      </c>
      <c r="E4" s="39" t="inlineStr">
        <is>
          <t>🟢 LIGHT</t>
        </is>
      </c>
      <c r="F4" s="201" t="n"/>
      <c r="H4" s="40" t="inlineStr">
        <is>
          <t>🟡 BASE</t>
        </is>
      </c>
      <c r="I4" s="201" t="n"/>
      <c r="K4" s="41" t="inlineStr">
        <is>
          <t>🔴 SEVERE</t>
        </is>
      </c>
      <c r="L4" s="201" t="n"/>
    </row>
    <row r="5" ht="20" customHeight="1" s="28">
      <c r="B5" s="161" t="inlineStr">
        <is>
          <t>Metric</t>
        </is>
      </c>
      <c r="C5" s="161" t="inlineStr">
        <is>
          <t>Value</t>
        </is>
      </c>
      <c r="E5" s="161" t="inlineStr">
        <is>
          <t>Stressed</t>
        </is>
      </c>
      <c r="F5" s="161" t="inlineStr">
        <is>
          <t>Δ vs Base</t>
        </is>
      </c>
      <c r="H5" s="161" t="inlineStr">
        <is>
          <t>Stressed</t>
        </is>
      </c>
      <c r="I5" s="161" t="inlineStr">
        <is>
          <t>Δ vs Base</t>
        </is>
      </c>
      <c r="K5" s="161" t="inlineStr">
        <is>
          <t>Stressed</t>
        </is>
      </c>
      <c r="L5" s="161" t="inlineStr">
        <is>
          <t>Δ vs Base</t>
        </is>
      </c>
    </row>
    <row r="6" ht="20" customHeight="1" s="28">
      <c r="B6" s="43" t="inlineStr">
        <is>
          <t xml:space="preserve">  INCOME STATEMENT</t>
        </is>
      </c>
    </row>
    <row r="7" ht="20" customHeight="1" s="28">
      <c r="B7" s="44" t="inlineStr">
        <is>
          <t>Revenue</t>
        </is>
      </c>
      <c r="C7" s="45">
        <f>Stress_Model!B6</f>
        <v/>
      </c>
      <c r="E7" s="46">
        <f>Stress_Model!B6*(1+INDEX(Scenario_Library!$E$4:$E$66,MATCH(Scenario_Setup!$B$3&amp;" | Light",Scenario_Library!$C$4:$C$66,0)))</f>
        <v/>
      </c>
      <c r="F7" s="46">
        <f>E7-C7</f>
        <v/>
      </c>
      <c r="H7" s="47">
        <f>Stress_Model!B6*(1+INDEX(Scenario_Library!$E$4:$E$66,MATCH(Scenario_Setup!$B$3&amp;" | Base",Scenario_Library!$C$4:$C$66,0)))</f>
        <v/>
      </c>
      <c r="I7" s="47">
        <f>H7-C7</f>
        <v/>
      </c>
      <c r="K7" s="48">
        <f>Stress_Model!B6*(1+INDEX(Scenario_Library!$E$4:$E$66,MATCH(Scenario_Setup!$B$3&amp;" | Severe",Scenario_Library!$C$4:$C$66,0)))</f>
        <v/>
      </c>
      <c r="L7" s="48">
        <f>K7-C7</f>
        <v/>
      </c>
    </row>
    <row r="8" ht="20" customHeight="1" s="28">
      <c r="B8" s="49" t="inlineStr">
        <is>
          <t>EBITDA</t>
        </is>
      </c>
      <c r="C8" s="50">
        <f>Stress_Model!B11</f>
        <v/>
      </c>
      <c r="E8" s="51">
        <f>==Stress_Model!B6*(1+INDEX(Scenario_Library!$E$4:$E$66,MATCH(Scenario_Setup!$B$3&amp;" | Light",Scenario_Library!$C$4:$C$66,0)))*=MAX(-50%,MIN(90%,Stress_Model!B7+INDEX(Scenario_Library!$F$4:$F$66,MATCH(Scenario_Setup!$B$3&amp;" | Light",Scenario_Library!$C$4:$C$66,0))/10000))-=MAX(0,Stress_Model!B9*(1+Scenario_Setup!B9*(INDEX(Scenario_Library!$E$4:$E$66,MATCH(Scenario_Setup!$B$3&amp;" | Light",Scenario_Library!$C$4:$C$66,0)))+INDEX(Scenario_Library!$G$4:$G$66,MATCH(Scenario_Setup!$B$3&amp;" | Light",Scenario_Library!$C$4:$C$66,0))))-=MAX(0,Stress_Model!B10*(1+INDEX(Scenario_Library!$H$4:$H$66,MATCH(Scenario_Setup!$B$3&amp;" | Light",Scenario_Library!$C$4:$C$66,0))))</f>
        <v/>
      </c>
      <c r="F8" s="46">
        <f>E8-C8</f>
        <v/>
      </c>
      <c r="H8" s="52">
        <f>==Stress_Model!B6*(1+INDEX(Scenario_Library!$E$4:$E$66,MATCH(Scenario_Setup!$B$3&amp;" | Base",Scenario_Library!$C$4:$C$66,0)))*=MAX(-50%,MIN(90%,Stress_Model!B7+INDEX(Scenario_Library!$F$4:$F$66,MATCH(Scenario_Setup!$B$3&amp;" | Base",Scenario_Library!$C$4:$C$66,0))/10000))-=MAX(0,Stress_Model!B9*(1+Scenario_Setup!B9*(INDEX(Scenario_Library!$E$4:$E$66,MATCH(Scenario_Setup!$B$3&amp;" | Base",Scenario_Library!$C$4:$C$66,0)))+INDEX(Scenario_Library!$G$4:$G$66,MATCH(Scenario_Setup!$B$3&amp;" | Base",Scenario_Library!$C$4:$C$66,0))))-=MAX(0,Stress_Model!B10*(1+INDEX(Scenario_Library!$H$4:$H$66,MATCH(Scenario_Setup!$B$3&amp;" | Base",Scenario_Library!$C$4:$C$66,0))))</f>
        <v/>
      </c>
      <c r="I8" s="47">
        <f>H8-C8</f>
        <v/>
      </c>
      <c r="K8" s="53">
        <f>==Stress_Model!B6*(1+INDEX(Scenario_Library!$E$4:$E$66,MATCH(Scenario_Setup!$B$3&amp;" | Severe",Scenario_Library!$C$4:$C$66,0)))*=MAX(-50%,MIN(90%,Stress_Model!B7+INDEX(Scenario_Library!$F$4:$F$66,MATCH(Scenario_Setup!$B$3&amp;" | Severe",Scenario_Library!$C$4:$C$66,0))/10000))-=MAX(0,Stress_Model!B9*(1+Scenario_Setup!B9*(INDEX(Scenario_Library!$E$4:$E$66,MATCH(Scenario_Setup!$B$3&amp;" | Severe",Scenario_Library!$C$4:$C$66,0)))+INDEX(Scenario_Library!$G$4:$G$66,MATCH(Scenario_Setup!$B$3&amp;" | Severe",Scenario_Library!$C$4:$C$66,0))))-=MAX(0,Stress_Model!B10*(1+INDEX(Scenario_Library!$H$4:$H$66,MATCH(Scenario_Setup!$B$3&amp;" | Severe",Scenario_Library!$C$4:$C$66,0))))</f>
        <v/>
      </c>
      <c r="L8" s="48">
        <f>K8-C8</f>
        <v/>
      </c>
    </row>
    <row r="9" ht="20" customHeight="1" s="28">
      <c r="B9" s="44" t="inlineStr">
        <is>
          <t>EBITDA Margin %</t>
        </is>
      </c>
      <c r="C9" s="54">
        <f>IFERROR(Stress_Model!B11/Stress_Model!B6,0)</f>
        <v/>
      </c>
      <c r="E9" s="55">
        <f>IFERROR((===Stress_Model!B6*(1+INDEX(Scenario_Library!$E$4:$E$66,MATCH(Scenario_Setup!$B$3&amp;" | Light",Scenario_Library!$C$4:$C$66,0)))*=MAX(-50%,MIN(90%,Stress_Model!B7+INDEX(Scenario_Library!$F$4:$F$66,MATCH(Scenario_Setup!$B$3&amp;" | Light",Scenario_Library!$C$4:$C$66,0))/10000))-=MAX(0,Stress_Model!B9*(1+Scenario_Setup!B9*(INDEX(Scenario_Library!$E$4:$E$66,MATCH(Scenario_Setup!$B$3&amp;" | Light",Scenario_Library!$C$4:$C$66,0)))+INDEX(Scenario_Library!$G$4:$G$66,MATCH(Scenario_Setup!$B$3&amp;" | Light",Scenario_Library!$C$4:$C$66,0))))-=MAX(0,Stress_Model!B10*(1+INDEX(Scenario_Library!$H$4:$H$66,MATCH(Scenario_Setup!$B$3&amp;" | Light",Scenario_Library!$C$4:$C$66,0)))))/(=Stress_Model!B6*(1+INDEX(Scenario_Library!$E$4:$E$66,MATCH(Scenario_Setup!$B$3&amp;" | Light",Scenario_Library!$C$4:$C$66,0)))),0)</f>
        <v/>
      </c>
      <c r="F9" s="55">
        <f>E9-C9</f>
        <v/>
      </c>
      <c r="H9" s="56">
        <f>IFERROR((===Stress_Model!B6*(1+INDEX(Scenario_Library!$E$4:$E$66,MATCH(Scenario_Setup!$B$3&amp;" | Base",Scenario_Library!$C$4:$C$66,0)))*=MAX(-50%,MIN(90%,Stress_Model!B7+INDEX(Scenario_Library!$F$4:$F$66,MATCH(Scenario_Setup!$B$3&amp;" | Base",Scenario_Library!$C$4:$C$66,0))/10000))-=MAX(0,Stress_Model!B9*(1+Scenario_Setup!B9*(INDEX(Scenario_Library!$E$4:$E$66,MATCH(Scenario_Setup!$B$3&amp;" | Base",Scenario_Library!$C$4:$C$66,0)))+INDEX(Scenario_Library!$G$4:$G$66,MATCH(Scenario_Setup!$B$3&amp;" | Base",Scenario_Library!$C$4:$C$66,0))))-=MAX(0,Stress_Model!B10*(1+INDEX(Scenario_Library!$H$4:$H$66,MATCH(Scenario_Setup!$B$3&amp;" | Base",Scenario_Library!$C$4:$C$66,0)))))/(=Stress_Model!B6*(1+INDEX(Scenario_Library!$E$4:$E$66,MATCH(Scenario_Setup!$B$3&amp;" | Base",Scenario_Library!$C$4:$C$66,0)))),0)</f>
        <v/>
      </c>
      <c r="I9" s="56">
        <f>H9-C9</f>
        <v/>
      </c>
      <c r="K9" s="57">
        <f>IFERROR((===Stress_Model!B6*(1+INDEX(Scenario_Library!$E$4:$E$66,MATCH(Scenario_Setup!$B$3&amp;" | Severe",Scenario_Library!$C$4:$C$66,0)))*=MAX(-50%,MIN(90%,Stress_Model!B7+INDEX(Scenario_Library!$F$4:$F$66,MATCH(Scenario_Setup!$B$3&amp;" | Severe",Scenario_Library!$C$4:$C$66,0))/10000))-=MAX(0,Stress_Model!B9*(1+Scenario_Setup!B9*(INDEX(Scenario_Library!$E$4:$E$66,MATCH(Scenario_Setup!$B$3&amp;" | Severe",Scenario_Library!$C$4:$C$66,0)))+INDEX(Scenario_Library!$G$4:$G$66,MATCH(Scenario_Setup!$B$3&amp;" | Severe",Scenario_Library!$C$4:$C$66,0))))-=MAX(0,Stress_Model!B10*(1+INDEX(Scenario_Library!$H$4:$H$66,MATCH(Scenario_Setup!$B$3&amp;" | Severe",Scenario_Library!$C$4:$C$66,0)))))/(=Stress_Model!B6*(1+INDEX(Scenario_Library!$E$4:$E$66,MATCH(Scenario_Setup!$B$3&amp;" | Severe",Scenario_Library!$C$4:$C$66,0)))),0)</f>
        <v/>
      </c>
      <c r="L9" s="57">
        <f>K9-C9</f>
        <v/>
      </c>
    </row>
    <row r="10" ht="20" customHeight="1" s="28">
      <c r="B10" s="44" t="inlineStr">
        <is>
          <t>EBIT</t>
        </is>
      </c>
      <c r="C10" s="45">
        <f>Stress_Model!B13</f>
        <v/>
      </c>
      <c r="E10" s="46">
        <f>===Stress_Model!B6*(1+INDEX(Scenario_Library!$E$4:$E$66,MATCH(Scenario_Setup!$B$3&amp;" | Light",Scenario_Library!$C$4:$C$66,0)))*=MAX(-50%,MIN(90%,Stress_Model!B7+INDEX(Scenario_Library!$F$4:$F$66,MATCH(Scenario_Setup!$B$3&amp;" | Light",Scenario_Library!$C$4:$C$66,0))/10000))-=MAX(0,Stress_Model!B9*(1+Scenario_Setup!B9*(INDEX(Scenario_Library!$E$4:$E$66,MATCH(Scenario_Setup!$B$3&amp;" | Light",Scenario_Library!$C$4:$C$66,0)))+INDEX(Scenario_Library!$G$4:$G$66,MATCH(Scenario_Setup!$B$3&amp;" | Light",Scenario_Library!$C$4:$C$66,0))))-=MAX(0,Stress_Model!B10*(1+INDEX(Scenario_Library!$H$4:$H$66,MATCH(Scenario_Setup!$B$3&amp;" | Light",Scenario_Library!$C$4:$C$66,0))))-Stress_Model!B12</f>
        <v/>
      </c>
      <c r="F10" s="46">
        <f>E10-C10</f>
        <v/>
      </c>
      <c r="H10" s="47">
        <f>===Stress_Model!B6*(1+INDEX(Scenario_Library!$E$4:$E$66,MATCH(Scenario_Setup!$B$3&amp;" | Base",Scenario_Library!$C$4:$C$66,0)))*=MAX(-50%,MIN(90%,Stress_Model!B7+INDEX(Scenario_Library!$F$4:$F$66,MATCH(Scenario_Setup!$B$3&amp;" | Base",Scenario_Library!$C$4:$C$66,0))/10000))-=MAX(0,Stress_Model!B9*(1+Scenario_Setup!B9*(INDEX(Scenario_Library!$E$4:$E$66,MATCH(Scenario_Setup!$B$3&amp;" | Base",Scenario_Library!$C$4:$C$66,0)))+INDEX(Scenario_Library!$G$4:$G$66,MATCH(Scenario_Setup!$B$3&amp;" | Base",Scenario_Library!$C$4:$C$66,0))))-=MAX(0,Stress_Model!B10*(1+INDEX(Scenario_Library!$H$4:$H$66,MATCH(Scenario_Setup!$B$3&amp;" | Base",Scenario_Library!$C$4:$C$66,0))))-Stress_Model!B12</f>
        <v/>
      </c>
      <c r="I10" s="47">
        <f>H10-C10</f>
        <v/>
      </c>
      <c r="K10" s="48">
        <f>===Stress_Model!B6*(1+INDEX(Scenario_Library!$E$4:$E$66,MATCH(Scenario_Setup!$B$3&amp;" | Severe",Scenario_Library!$C$4:$C$66,0)))*=MAX(-50%,MIN(90%,Stress_Model!B7+INDEX(Scenario_Library!$F$4:$F$66,MATCH(Scenario_Setup!$B$3&amp;" | Severe",Scenario_Library!$C$4:$C$66,0))/10000))-=MAX(0,Stress_Model!B9*(1+Scenario_Setup!B9*(INDEX(Scenario_Library!$E$4:$E$66,MATCH(Scenario_Setup!$B$3&amp;" | Severe",Scenario_Library!$C$4:$C$66,0)))+INDEX(Scenario_Library!$G$4:$G$66,MATCH(Scenario_Setup!$B$3&amp;" | Severe",Scenario_Library!$C$4:$C$66,0))))-=MAX(0,Stress_Model!B10*(1+INDEX(Scenario_Library!$H$4:$H$66,MATCH(Scenario_Setup!$B$3&amp;" | Severe",Scenario_Library!$C$4:$C$66,0))))-Stress_Model!B12</f>
        <v/>
      </c>
      <c r="L10" s="48">
        <f>K10-C10</f>
        <v/>
      </c>
    </row>
    <row r="11" ht="20" customHeight="1" s="28">
      <c r="B11" s="44" t="inlineStr">
        <is>
          <t>Net Income</t>
        </is>
      </c>
      <c r="C11" s="45">
        <f>Stress_Model!B21</f>
        <v/>
      </c>
      <c r="E11" s="46">
        <f>=====Stress_Model!B6*(1+INDEX(Scenario_Library!$E$4:$E$66,MATCH(Scenario_Setup!$B$3&amp;" | Light",Scenario_Library!$C$4:$C$66,0)))*=MAX(-50%,MIN(90%,Stress_Model!B7+INDEX(Scenario_Library!$F$4:$F$66,MATCH(Scenario_Setup!$B$3&amp;" | Light",Scenario_Library!$C$4:$C$66,0))/10000))-=MAX(0,Stress_Model!B9*(1+Scenario_Setup!B9*(INDEX(Scenario_Library!$E$4:$E$66,MATCH(Scenario_Setup!$B$3&amp;" | Light",Scenario_Library!$C$4:$C$66,0)))+INDEX(Scenario_Library!$G$4:$G$66,MATCH(Scenario_Setup!$B$3&amp;" | Light",Scenario_Library!$C$4:$C$66,0))))-=MAX(0,Stress_Model!B10*(1+INDEX(Scenario_Library!$H$4:$H$66,MATCH(Scenario_Setup!$B$3&amp;" | Light",Scenario_Library!$C$4:$C$66,0))))-Stress_Model!B12-==MAX(0,Stress_Model!B15/MAX(Stress_Model!B43,0.01)+INDEX(Scenario_Library!$L$4:$L$66,MATCH(Scenario_Setup!$B$3&amp;" | Light",Scenario_Library!$C$4:$C$66,0))/10000)*Stress_Model!B43*(1-INDEX(Scenario_Library!$V$4:$V$66,MATCH(Scenario_Setup!$B$3&amp;" | Light",Scenario_Library!$C$4:$C$66,0)))</f>
        <v/>
      </c>
      <c r="F11" s="46">
        <f>E11-C11</f>
        <v/>
      </c>
      <c r="H11" s="47">
        <f>=====Stress_Model!B6*(1+INDEX(Scenario_Library!$E$4:$E$66,MATCH(Scenario_Setup!$B$3&amp;" | Base",Scenario_Library!$C$4:$C$66,0)))*=MAX(-50%,MIN(90%,Stress_Model!B7+INDEX(Scenario_Library!$F$4:$F$66,MATCH(Scenario_Setup!$B$3&amp;" | Base",Scenario_Library!$C$4:$C$66,0))/10000))-=MAX(0,Stress_Model!B9*(1+Scenario_Setup!B9*(INDEX(Scenario_Library!$E$4:$E$66,MATCH(Scenario_Setup!$B$3&amp;" | Base",Scenario_Library!$C$4:$C$66,0)))+INDEX(Scenario_Library!$G$4:$G$66,MATCH(Scenario_Setup!$B$3&amp;" | Base",Scenario_Library!$C$4:$C$66,0))))-=MAX(0,Stress_Model!B10*(1+INDEX(Scenario_Library!$H$4:$H$66,MATCH(Scenario_Setup!$B$3&amp;" | Base",Scenario_Library!$C$4:$C$66,0))))-Stress_Model!B12-==MAX(0,Stress_Model!B15/MAX(Stress_Model!B43,0.01)+INDEX(Scenario_Library!$L$4:$L$66,MATCH(Scenario_Setup!$B$3&amp;" | Base",Scenario_Library!$C$4:$C$66,0))/10000)*Stress_Model!B43*(1-INDEX(Scenario_Library!$V$4:$V$66,MATCH(Scenario_Setup!$B$3&amp;" | Base",Scenario_Library!$C$4:$C$66,0)))</f>
        <v/>
      </c>
      <c r="I11" s="47">
        <f>H11-C11</f>
        <v/>
      </c>
      <c r="K11" s="48">
        <f>=====Stress_Model!B6*(1+INDEX(Scenario_Library!$E$4:$E$66,MATCH(Scenario_Setup!$B$3&amp;" | Severe",Scenario_Library!$C$4:$C$66,0)))*=MAX(-50%,MIN(90%,Stress_Model!B7+INDEX(Scenario_Library!$F$4:$F$66,MATCH(Scenario_Setup!$B$3&amp;" | Severe",Scenario_Library!$C$4:$C$66,0))/10000))-=MAX(0,Stress_Model!B9*(1+Scenario_Setup!B9*(INDEX(Scenario_Library!$E$4:$E$66,MATCH(Scenario_Setup!$B$3&amp;" | Severe",Scenario_Library!$C$4:$C$66,0)))+INDEX(Scenario_Library!$G$4:$G$66,MATCH(Scenario_Setup!$B$3&amp;" | Severe",Scenario_Library!$C$4:$C$66,0))))-=MAX(0,Stress_Model!B10*(1+INDEX(Scenario_Library!$H$4:$H$66,MATCH(Scenario_Setup!$B$3&amp;" | Severe",Scenario_Library!$C$4:$C$66,0))))-Stress_Model!B12-==MAX(0,Stress_Model!B15/MAX(Stress_Model!B43,0.01)+INDEX(Scenario_Library!$L$4:$L$66,MATCH(Scenario_Setup!$B$3&amp;" | Severe",Scenario_Library!$C$4:$C$66,0))/10000)*Stress_Model!B43*(1-INDEX(Scenario_Library!$V$4:$V$66,MATCH(Scenario_Setup!$B$3&amp;" | Severe",Scenario_Library!$C$4:$C$66,0)))</f>
        <v/>
      </c>
      <c r="L11" s="48">
        <f>K11-C11</f>
        <v/>
      </c>
    </row>
    <row r="12" ht="20" customHeight="1" s="28">
      <c r="B12" s="43" t="inlineStr">
        <is>
          <t xml:space="preserve">  CASH FLOW</t>
        </is>
      </c>
    </row>
    <row r="13" ht="20" customHeight="1" s="28">
      <c r="B13" s="44" t="inlineStr">
        <is>
          <t>CFO (modeled)</t>
        </is>
      </c>
      <c r="C13" s="45">
        <f>Stress_Model!B32</f>
        <v/>
      </c>
      <c r="E13" s="46">
        <f>======Stress_Model!B6*(1+INDEX(Scenario_Library!$E$4:$E$66,MATCH(Scenario_Setup!$B$3&amp;" | Light",Scenario_Library!$C$4:$C$66,0)))*=MAX(-50%,MIN(90%,Stress_Model!B7+INDEX(Scenario_Library!$F$4:$F$66,MATCH(Scenario_Setup!$B$3&amp;" | Light",Scenario_Library!$C$4:$C$66,0))/10000))-=MAX(0,Stress_Model!B9*(1+Scenario_Setup!B9*(INDEX(Scenario_Library!$E$4:$E$66,MATCH(Scenario_Setup!$B$3&amp;" | Light",Scenario_Library!$C$4:$C$66,0)))+INDEX(Scenario_Library!$G$4:$G$66,MATCH(Scenario_Setup!$B$3&amp;" | Light",Scenario_Library!$C$4:$C$66,0))))-=MAX(0,Stress_Model!B10*(1+INDEX(Scenario_Library!$H$4:$H$66,MATCH(Scenario_Setup!$B$3&amp;" | Light",Scenario_Library!$C$4:$C$66,0))))-Stress_Model!B12-==MAX(0,Stress_Model!B15/MAX(Stress_Model!B43,0.01)+INDEX(Scenario_Library!$L$4:$L$66,MATCH(Scenario_Setup!$B$3&amp;" | Light",Scenario_Library!$C$4:$C$66,0))/10000)*Stress_Model!B43*(1-INDEX(Scenario_Library!$V$4:$V$66,MATCH(Scenario_Setup!$B$3&amp;" | Light",Scenario_Library!$C$4:$C$66,0)))+Stress_Model!B12-(==Stress_Model!B6*(1+INDEX(Scenario_Library!$E$4:$E$66,MATCH(Scenario_Setup!$B$3&amp;" | Light",Scenario_Library!$C$4:$C$66,0)))*=MAX(0,Stress_Model!B23+INDEX(Scenario_Library!$I$4:$I$66,MATCH(Scenario_Setup!$B$3&amp;" | Light",Scenario_Library!$C$4:$C$66,0)))/365-Stress_Model!B6*Stress_Model!B23/365)-(=(=Stress_Model!B6*(1+INDEX(Scenario_Library!$E$4:$E$66,MATCH(Scenario_Setup!$B$3&amp;" | Light",Scenario_Library!$C$4:$C$66,0)))-==Stress_Model!B6*(1+INDEX(Scenario_Library!$E$4:$E$66,MATCH(Scenario_Setup!$B$3&amp;" | Light",Scenario_Library!$C$4:$C$66,0)))*=MAX(-50%,MIN(90%,Stress_Model!B7+INDEX(Scenario_Library!$F$4:$F$66,MATCH(Scenario_Setup!$B$3&amp;" | Light",Scenario_Library!$C$4:$C$66,0))/10000)))*=MAX(0,Stress_Model!B24+INDEX(Scenario_Library!$J$4:$J$66,MATCH(Scenario_Setup!$B$3&amp;" | Light",Scenario_Library!$C$4:$C$66,0)))/365-Stress_Model!B22)+(=(=Stress_Model!B6*(1+INDEX(Scenario_Library!$E$4:$E$66,MATCH(Scenario_Setup!$B$3&amp;" | Light",Scenario_Library!$C$4:$C$66,0)))-==Stress_Model!B6*(1+INDEX(Scenario_Library!$E$4:$E$66,MATCH(Scenario_Setup!$B$3&amp;" | Light",Scenario_Library!$C$4:$C$66,0)))*=MAX(-50%,MIN(90%,Stress_Model!B7+INDEX(Scenario_Library!$F$4:$F$66,MATCH(Scenario_Setup!$B$3&amp;" | Light",Scenario_Library!$C$4:$C$66,0))/10000)))*=MAX(0,Stress_Model!B25+INDEX(Scenario_Library!$K$4:$K$66,MATCH(Scenario_Setup!$B$3&amp;" | Light",Scenario_Library!$C$4:$C$66,0)))/365-Stress_Model!B25*(Stress_Model!B6-Stress_Model!B8)/365)</f>
        <v/>
      </c>
      <c r="F13" s="46">
        <f>E13-C13</f>
        <v/>
      </c>
      <c r="H13" s="47">
        <f>======Stress_Model!B6*(1+INDEX(Scenario_Library!$E$4:$E$66,MATCH(Scenario_Setup!$B$3&amp;" | Base",Scenario_Library!$C$4:$C$66,0)))*=MAX(-50%,MIN(90%,Stress_Model!B7+INDEX(Scenario_Library!$F$4:$F$66,MATCH(Scenario_Setup!$B$3&amp;" | Base",Scenario_Library!$C$4:$C$66,0))/10000))-=MAX(0,Stress_Model!B9*(1+Scenario_Setup!B9*(INDEX(Scenario_Library!$E$4:$E$66,MATCH(Scenario_Setup!$B$3&amp;" | Base",Scenario_Library!$C$4:$C$66,0)))+INDEX(Scenario_Library!$G$4:$G$66,MATCH(Scenario_Setup!$B$3&amp;" | Base",Scenario_Library!$C$4:$C$66,0))))-=MAX(0,Stress_Model!B10*(1+INDEX(Scenario_Library!$H$4:$H$66,MATCH(Scenario_Setup!$B$3&amp;" | Base",Scenario_Library!$C$4:$C$66,0))))-Stress_Model!B12-==MAX(0,Stress_Model!B15/MAX(Stress_Model!B43,0.01)+INDEX(Scenario_Library!$L$4:$L$66,MATCH(Scenario_Setup!$B$3&amp;" | Base",Scenario_Library!$C$4:$C$66,0))/10000)*Stress_Model!B43*(1-INDEX(Scenario_Library!$V$4:$V$66,MATCH(Scenario_Setup!$B$3&amp;" | Base",Scenario_Library!$C$4:$C$66,0)))+Stress_Model!B12-(==Stress_Model!B6*(1+INDEX(Scenario_Library!$E$4:$E$66,MATCH(Scenario_Setup!$B$3&amp;" | Base",Scenario_Library!$C$4:$C$66,0)))*=MAX(0,Stress_Model!B23+INDEX(Scenario_Library!$I$4:$I$66,MATCH(Scenario_Setup!$B$3&amp;" | Base",Scenario_Library!$C$4:$C$66,0)))/365-Stress_Model!B6*Stress_Model!B23/365)-(=(=Stress_Model!B6*(1+INDEX(Scenario_Library!$E$4:$E$66,MATCH(Scenario_Setup!$B$3&amp;" | Base",Scenario_Library!$C$4:$C$66,0)))-==Stress_Model!B6*(1+INDEX(Scenario_Library!$E$4:$E$66,MATCH(Scenario_Setup!$B$3&amp;" | Base",Scenario_Library!$C$4:$C$66,0)))*=MAX(-50%,MIN(90%,Stress_Model!B7+INDEX(Scenario_Library!$F$4:$F$66,MATCH(Scenario_Setup!$B$3&amp;" | Base",Scenario_Library!$C$4:$C$66,0))/10000)))*=MAX(0,Stress_Model!B24+INDEX(Scenario_Library!$J$4:$J$66,MATCH(Scenario_Setup!$B$3&amp;" | Base",Scenario_Library!$C$4:$C$66,0)))/365-Stress_Model!B22)+(=(=Stress_Model!B6*(1+INDEX(Scenario_Library!$E$4:$E$66,MATCH(Scenario_Setup!$B$3&amp;" | Base",Scenario_Library!$C$4:$C$66,0)))-==Stress_Model!B6*(1+INDEX(Scenario_Library!$E$4:$E$66,MATCH(Scenario_Setup!$B$3&amp;" | Base",Scenario_Library!$C$4:$C$66,0)))*=MAX(-50%,MIN(90%,Stress_Model!B7+INDEX(Scenario_Library!$F$4:$F$66,MATCH(Scenario_Setup!$B$3&amp;" | Base",Scenario_Library!$C$4:$C$66,0))/10000)))*=MAX(0,Stress_Model!B25+INDEX(Scenario_Library!$K$4:$K$66,MATCH(Scenario_Setup!$B$3&amp;" | Base",Scenario_Library!$C$4:$C$66,0)))/365-Stress_Model!B25*(Stress_Model!B6-Stress_Model!B8)/365)</f>
        <v/>
      </c>
      <c r="I13" s="47">
        <f>H13-C13</f>
        <v/>
      </c>
      <c r="K13" s="48">
        <f>======Stress_Model!B6*(1+INDEX(Scenario_Library!$E$4:$E$66,MATCH(Scenario_Setup!$B$3&amp;" | Severe",Scenario_Library!$C$4:$C$66,0)))*=MAX(-50%,MIN(90%,Stress_Model!B7+INDEX(Scenario_Library!$F$4:$F$66,MATCH(Scenario_Setup!$B$3&amp;" | Severe",Scenario_Library!$C$4:$C$66,0))/10000))-=MAX(0,Stress_Model!B9*(1+Scenario_Setup!B9*(INDEX(Scenario_Library!$E$4:$E$66,MATCH(Scenario_Setup!$B$3&amp;" | Severe",Scenario_Library!$C$4:$C$66,0)))+INDEX(Scenario_Library!$G$4:$G$66,MATCH(Scenario_Setup!$B$3&amp;" | Severe",Scenario_Library!$C$4:$C$66,0))))-=MAX(0,Stress_Model!B10*(1+INDEX(Scenario_Library!$H$4:$H$66,MATCH(Scenario_Setup!$B$3&amp;" | Severe",Scenario_Library!$C$4:$C$66,0))))-Stress_Model!B12-==MAX(0,Stress_Model!B15/MAX(Stress_Model!B43,0.01)+INDEX(Scenario_Library!$L$4:$L$66,MATCH(Scenario_Setup!$B$3&amp;" | Severe",Scenario_Library!$C$4:$C$66,0))/10000)*Stress_Model!B43*(1-INDEX(Scenario_Library!$V$4:$V$66,MATCH(Scenario_Setup!$B$3&amp;" | Severe",Scenario_Library!$C$4:$C$66,0)))+Stress_Model!B12-(==Stress_Model!B6*(1+INDEX(Scenario_Library!$E$4:$E$66,MATCH(Scenario_Setup!$B$3&amp;" | Severe",Scenario_Library!$C$4:$C$66,0)))*=MAX(0,Stress_Model!B23+INDEX(Scenario_Library!$I$4:$I$66,MATCH(Scenario_Setup!$B$3&amp;" | Severe",Scenario_Library!$C$4:$C$66,0)))/365-Stress_Model!B6*Stress_Model!B23/365)-(=(=Stress_Model!B6*(1+INDEX(Scenario_Library!$E$4:$E$66,MATCH(Scenario_Setup!$B$3&amp;" | Severe",Scenario_Library!$C$4:$C$66,0)))-==Stress_Model!B6*(1+INDEX(Scenario_Library!$E$4:$E$66,MATCH(Scenario_Setup!$B$3&amp;" | Severe",Scenario_Library!$C$4:$C$66,0)))*=MAX(-50%,MIN(90%,Stress_Model!B7+INDEX(Scenario_Library!$F$4:$F$66,MATCH(Scenario_Setup!$B$3&amp;" | Severe",Scenario_Library!$C$4:$C$66,0))/10000)))*=MAX(0,Stress_Model!B24+INDEX(Scenario_Library!$J$4:$J$66,MATCH(Scenario_Setup!$B$3&amp;" | Severe",Scenario_Library!$C$4:$C$66,0)))/365-Stress_Model!B22)+(=(=Stress_Model!B6*(1+INDEX(Scenario_Library!$E$4:$E$66,MATCH(Scenario_Setup!$B$3&amp;" | Severe",Scenario_Library!$C$4:$C$66,0)))-==Stress_Model!B6*(1+INDEX(Scenario_Library!$E$4:$E$66,MATCH(Scenario_Setup!$B$3&amp;" | Severe",Scenario_Library!$C$4:$C$66,0)))*=MAX(-50%,MIN(90%,Stress_Model!B7+INDEX(Scenario_Library!$F$4:$F$66,MATCH(Scenario_Setup!$B$3&amp;" | Severe",Scenario_Library!$C$4:$C$66,0))/10000)))*=MAX(0,Stress_Model!B25+INDEX(Scenario_Library!$K$4:$K$66,MATCH(Scenario_Setup!$B$3&amp;" | Severe",Scenario_Library!$C$4:$C$66,0)))/365-Stress_Model!B25*(Stress_Model!B6-Stress_Model!B8)/365)</f>
        <v/>
      </c>
      <c r="L13" s="48">
        <f>K13-C13</f>
        <v/>
      </c>
    </row>
    <row r="14" ht="20" customHeight="1" s="28">
      <c r="B14" s="44" t="inlineStr">
        <is>
          <t>CapEx</t>
        </is>
      </c>
      <c r="C14" s="45">
        <f>Stress_Model!B33</f>
        <v/>
      </c>
      <c r="E14" s="46">
        <f>Stress_Model!B33*(1-INDEX(Scenario_Library!$P$4:$P$66,MATCH(Scenario_Setup!$B$3&amp;" | Light",Scenario_Library!$C$4:$C$66,0)))</f>
        <v/>
      </c>
      <c r="F14" s="46">
        <f>E14-C14</f>
        <v/>
      </c>
      <c r="H14" s="47">
        <f>Stress_Model!B33*(1-INDEX(Scenario_Library!$P$4:$P$66,MATCH(Scenario_Setup!$B$3&amp;" | Base",Scenario_Library!$C$4:$C$66,0)))</f>
        <v/>
      </c>
      <c r="I14" s="47">
        <f>H14-C14</f>
        <v/>
      </c>
      <c r="K14" s="48">
        <f>Stress_Model!B33*(1-INDEX(Scenario_Library!$P$4:$P$66,MATCH(Scenario_Setup!$B$3&amp;" | Severe",Scenario_Library!$C$4:$C$66,0)))</f>
        <v/>
      </c>
      <c r="L14" s="48">
        <f>K14-C14</f>
        <v/>
      </c>
    </row>
    <row r="15" ht="20" customHeight="1" s="28">
      <c r="B15" s="49" t="inlineStr">
        <is>
          <t>FCF</t>
        </is>
      </c>
      <c r="C15" s="50">
        <f>Stress_Model!B32-Stress_Model!B33</f>
        <v/>
      </c>
      <c r="E15" s="51">
        <f>=======Stress_Model!B6*(1+INDEX(Scenario_Library!$E$4:$E$66,MATCH(Scenario_Setup!$B$3&amp;" | Light",Scenario_Library!$C$4:$C$66,0)))*=MAX(-50%,MIN(90%,Stress_Model!B7+INDEX(Scenario_Library!$F$4:$F$66,MATCH(Scenario_Setup!$B$3&amp;" | Light",Scenario_Library!$C$4:$C$66,0))/10000))-=MAX(0,Stress_Model!B9*(1+Scenario_Setup!B9*(INDEX(Scenario_Library!$E$4:$E$66,MATCH(Scenario_Setup!$B$3&amp;" | Light",Scenario_Library!$C$4:$C$66,0)))+INDEX(Scenario_Library!$G$4:$G$66,MATCH(Scenario_Setup!$B$3&amp;" | Light",Scenario_Library!$C$4:$C$66,0))))-=MAX(0,Stress_Model!B10*(1+INDEX(Scenario_Library!$H$4:$H$66,MATCH(Scenario_Setup!$B$3&amp;" | Light",Scenario_Library!$C$4:$C$66,0))))-Stress_Model!B12-==MAX(0,Stress_Model!B15/MAX(Stress_Model!B43,0.01)+INDEX(Scenario_Library!$L$4:$L$66,MATCH(Scenario_Setup!$B$3&amp;" | Light",Scenario_Library!$C$4:$C$66,0))/10000)*Stress_Model!B43*(1-INDEX(Scenario_Library!$V$4:$V$66,MATCH(Scenario_Setup!$B$3&amp;" | Light",Scenario_Library!$C$4:$C$66,0)))+Stress_Model!B12-(==Stress_Model!B6*(1+INDEX(Scenario_Library!$E$4:$E$66,MATCH(Scenario_Setup!$B$3&amp;" | Light",Scenario_Library!$C$4:$C$66,0)))*=MAX(0,Stress_Model!B23+INDEX(Scenario_Library!$I$4:$I$66,MATCH(Scenario_Setup!$B$3&amp;" | Light",Scenario_Library!$C$4:$C$66,0)))/365-Stress_Model!B6*Stress_Model!B23/365)-(=(=Stress_Model!B6*(1+INDEX(Scenario_Library!$E$4:$E$66,MATCH(Scenario_Setup!$B$3&amp;" | Light",Scenario_Library!$C$4:$C$66,0)))-==Stress_Model!B6*(1+INDEX(Scenario_Library!$E$4:$E$66,MATCH(Scenario_Setup!$B$3&amp;" | Light",Scenario_Library!$C$4:$C$66,0)))*=MAX(-50%,MIN(90%,Stress_Model!B7+INDEX(Scenario_Library!$F$4:$F$66,MATCH(Scenario_Setup!$B$3&amp;" | Light",Scenario_Library!$C$4:$C$66,0))/10000)))*=MAX(0,Stress_Model!B24+INDEX(Scenario_Library!$J$4:$J$66,MATCH(Scenario_Setup!$B$3&amp;" | Light",Scenario_Library!$C$4:$C$66,0)))/365-Stress_Model!B22)+(=(=Stress_Model!B6*(1+INDEX(Scenario_Library!$E$4:$E$66,MATCH(Scenario_Setup!$B$3&amp;" | Light",Scenario_Library!$C$4:$C$66,0)))-==Stress_Model!B6*(1+INDEX(Scenario_Library!$E$4:$E$66,MATCH(Scenario_Setup!$B$3&amp;" | Light",Scenario_Library!$C$4:$C$66,0)))*=MAX(-50%,MIN(90%,Stress_Model!B7+INDEX(Scenario_Library!$F$4:$F$66,MATCH(Scenario_Setup!$B$3&amp;" | Light",Scenario_Library!$C$4:$C$66,0))/10000)))*=MAX(0,Stress_Model!B25+INDEX(Scenario_Library!$K$4:$K$66,MATCH(Scenario_Setup!$B$3&amp;" | Light",Scenario_Library!$C$4:$C$66,0)))/365-Stress_Model!B25*(Stress_Model!B6-Stress_Model!B8)/365)-=Stress_Model!B33*(1-INDEX(Scenario_Library!$P$4:$P$66,MATCH(Scenario_Setup!$B$3&amp;" | Light",Scenario_Library!$C$4:$C$66,0)))</f>
        <v/>
      </c>
      <c r="F15" s="46">
        <f>E15-C15</f>
        <v/>
      </c>
      <c r="H15" s="52">
        <f>=======Stress_Model!B6*(1+INDEX(Scenario_Library!$E$4:$E$66,MATCH(Scenario_Setup!$B$3&amp;" | Base",Scenario_Library!$C$4:$C$66,0)))*=MAX(-50%,MIN(90%,Stress_Model!B7+INDEX(Scenario_Library!$F$4:$F$66,MATCH(Scenario_Setup!$B$3&amp;" | Base",Scenario_Library!$C$4:$C$66,0))/10000))-=MAX(0,Stress_Model!B9*(1+Scenario_Setup!B9*(INDEX(Scenario_Library!$E$4:$E$66,MATCH(Scenario_Setup!$B$3&amp;" | Base",Scenario_Library!$C$4:$C$66,0)))+INDEX(Scenario_Library!$G$4:$G$66,MATCH(Scenario_Setup!$B$3&amp;" | Base",Scenario_Library!$C$4:$C$66,0))))-=MAX(0,Stress_Model!B10*(1+INDEX(Scenario_Library!$H$4:$H$66,MATCH(Scenario_Setup!$B$3&amp;" | Base",Scenario_Library!$C$4:$C$66,0))))-Stress_Model!B12-==MAX(0,Stress_Model!B15/MAX(Stress_Model!B43,0.01)+INDEX(Scenario_Library!$L$4:$L$66,MATCH(Scenario_Setup!$B$3&amp;" | Base",Scenario_Library!$C$4:$C$66,0))/10000)*Stress_Model!B43*(1-INDEX(Scenario_Library!$V$4:$V$66,MATCH(Scenario_Setup!$B$3&amp;" | Base",Scenario_Library!$C$4:$C$66,0)))+Stress_Model!B12-(==Stress_Model!B6*(1+INDEX(Scenario_Library!$E$4:$E$66,MATCH(Scenario_Setup!$B$3&amp;" | Base",Scenario_Library!$C$4:$C$66,0)))*=MAX(0,Stress_Model!B23+INDEX(Scenario_Library!$I$4:$I$66,MATCH(Scenario_Setup!$B$3&amp;" | Base",Scenario_Library!$C$4:$C$66,0)))/365-Stress_Model!B6*Stress_Model!B23/365)-(=(=Stress_Model!B6*(1+INDEX(Scenario_Library!$E$4:$E$66,MATCH(Scenario_Setup!$B$3&amp;" | Base",Scenario_Library!$C$4:$C$66,0)))-==Stress_Model!B6*(1+INDEX(Scenario_Library!$E$4:$E$66,MATCH(Scenario_Setup!$B$3&amp;" | Base",Scenario_Library!$C$4:$C$66,0)))*=MAX(-50%,MIN(90%,Stress_Model!B7+INDEX(Scenario_Library!$F$4:$F$66,MATCH(Scenario_Setup!$B$3&amp;" | Base",Scenario_Library!$C$4:$C$66,0))/10000)))*=MAX(0,Stress_Model!B24+INDEX(Scenario_Library!$J$4:$J$66,MATCH(Scenario_Setup!$B$3&amp;" | Base",Scenario_Library!$C$4:$C$66,0)))/365-Stress_Model!B22)+(=(=Stress_Model!B6*(1+INDEX(Scenario_Library!$E$4:$E$66,MATCH(Scenario_Setup!$B$3&amp;" | Base",Scenario_Library!$C$4:$C$66,0)))-==Stress_Model!B6*(1+INDEX(Scenario_Library!$E$4:$E$66,MATCH(Scenario_Setup!$B$3&amp;" | Base",Scenario_Library!$C$4:$C$66,0)))*=MAX(-50%,MIN(90%,Stress_Model!B7+INDEX(Scenario_Library!$F$4:$F$66,MATCH(Scenario_Setup!$B$3&amp;" | Base",Scenario_Library!$C$4:$C$66,0))/10000)))*=MAX(0,Stress_Model!B25+INDEX(Scenario_Library!$K$4:$K$66,MATCH(Scenario_Setup!$B$3&amp;" | Base",Scenario_Library!$C$4:$C$66,0)))/365-Stress_Model!B25*(Stress_Model!B6-Stress_Model!B8)/365)-=Stress_Model!B33*(1-INDEX(Scenario_Library!$P$4:$P$66,MATCH(Scenario_Setup!$B$3&amp;" | Base",Scenario_Library!$C$4:$C$66,0)))</f>
        <v/>
      </c>
      <c r="I15" s="47">
        <f>H15-C15</f>
        <v/>
      </c>
      <c r="K15" s="53">
        <f>=======Stress_Model!B6*(1+INDEX(Scenario_Library!$E$4:$E$66,MATCH(Scenario_Setup!$B$3&amp;" | Severe",Scenario_Library!$C$4:$C$66,0)))*=MAX(-50%,MIN(90%,Stress_Model!B7+INDEX(Scenario_Library!$F$4:$F$66,MATCH(Scenario_Setup!$B$3&amp;" | Severe",Scenario_Library!$C$4:$C$66,0))/10000))-=MAX(0,Stress_Model!B9*(1+Scenario_Setup!B9*(INDEX(Scenario_Library!$E$4:$E$66,MATCH(Scenario_Setup!$B$3&amp;" | Severe",Scenario_Library!$C$4:$C$66,0)))+INDEX(Scenario_Library!$G$4:$G$66,MATCH(Scenario_Setup!$B$3&amp;" | Severe",Scenario_Library!$C$4:$C$66,0))))-=MAX(0,Stress_Model!B10*(1+INDEX(Scenario_Library!$H$4:$H$66,MATCH(Scenario_Setup!$B$3&amp;" | Severe",Scenario_Library!$C$4:$C$66,0))))-Stress_Model!B12-==MAX(0,Stress_Model!B15/MAX(Stress_Model!B43,0.01)+INDEX(Scenario_Library!$L$4:$L$66,MATCH(Scenario_Setup!$B$3&amp;" | Severe",Scenario_Library!$C$4:$C$66,0))/10000)*Stress_Model!B43*(1-INDEX(Scenario_Library!$V$4:$V$66,MATCH(Scenario_Setup!$B$3&amp;" | Severe",Scenario_Library!$C$4:$C$66,0)))+Stress_Model!B12-(==Stress_Model!B6*(1+INDEX(Scenario_Library!$E$4:$E$66,MATCH(Scenario_Setup!$B$3&amp;" | Severe",Scenario_Library!$C$4:$C$66,0)))*=MAX(0,Stress_Model!B23+INDEX(Scenario_Library!$I$4:$I$66,MATCH(Scenario_Setup!$B$3&amp;" | Severe",Scenario_Library!$C$4:$C$66,0)))/365-Stress_Model!B6*Stress_Model!B23/365)-(=(=Stress_Model!B6*(1+INDEX(Scenario_Library!$E$4:$E$66,MATCH(Scenario_Setup!$B$3&amp;" | Severe",Scenario_Library!$C$4:$C$66,0)))-==Stress_Model!B6*(1+INDEX(Scenario_Library!$E$4:$E$66,MATCH(Scenario_Setup!$B$3&amp;" | Severe",Scenario_Library!$C$4:$C$66,0)))*=MAX(-50%,MIN(90%,Stress_Model!B7+INDEX(Scenario_Library!$F$4:$F$66,MATCH(Scenario_Setup!$B$3&amp;" | Severe",Scenario_Library!$C$4:$C$66,0))/10000)))*=MAX(0,Stress_Model!B24+INDEX(Scenario_Library!$J$4:$J$66,MATCH(Scenario_Setup!$B$3&amp;" | Severe",Scenario_Library!$C$4:$C$66,0)))/365-Stress_Model!B22)+(=(=Stress_Model!B6*(1+INDEX(Scenario_Library!$E$4:$E$66,MATCH(Scenario_Setup!$B$3&amp;" | Severe",Scenario_Library!$C$4:$C$66,0)))-==Stress_Model!B6*(1+INDEX(Scenario_Library!$E$4:$E$66,MATCH(Scenario_Setup!$B$3&amp;" | Severe",Scenario_Library!$C$4:$C$66,0)))*=MAX(-50%,MIN(90%,Stress_Model!B7+INDEX(Scenario_Library!$F$4:$F$66,MATCH(Scenario_Setup!$B$3&amp;" | Severe",Scenario_Library!$C$4:$C$66,0))/10000)))*=MAX(0,Stress_Model!B25+INDEX(Scenario_Library!$K$4:$K$66,MATCH(Scenario_Setup!$B$3&amp;" | Severe",Scenario_Library!$C$4:$C$66,0)))/365-Stress_Model!B25*(Stress_Model!B6-Stress_Model!B8)/365)-=Stress_Model!B33*(1-INDEX(Scenario_Library!$P$4:$P$66,MATCH(Scenario_Setup!$B$3&amp;" | Severe",Scenario_Library!$C$4:$C$66,0)))</f>
        <v/>
      </c>
      <c r="L15" s="48">
        <f>K15-C15</f>
        <v/>
      </c>
    </row>
    <row r="16" ht="20" customHeight="1" s="28">
      <c r="B16" s="43" t="inlineStr">
        <is>
          <t xml:space="preserve">  LIQUIDITY &amp; CREDIT</t>
        </is>
      </c>
    </row>
    <row r="17" ht="20" customHeight="1" s="28">
      <c r="B17" s="49" t="inlineStr">
        <is>
          <t>Ending Cash</t>
        </is>
      </c>
      <c r="C17" s="50">
        <f>Stress_Model!B39</f>
        <v/>
      </c>
      <c r="E17" s="51">
        <f>Hist_Financials!D20+=======Stress_Model!B6*(1+INDEX(Scenario_Library!$E$4:$E$66,MATCH(Scenario_Setup!$B$3&amp;" | Light",Scenario_Library!$C$4:$C$66,0)))*=MAX(-50%,MIN(90%,Stress_Model!B7+INDEX(Scenario_Library!$F$4:$F$66,MATCH(Scenario_Setup!$B$3&amp;" | Light",Scenario_Library!$C$4:$C$66,0))/10000))-=MAX(0,Stress_Model!B9*(1+Scenario_Setup!B9*(INDEX(Scenario_Library!$E$4:$E$66,MATCH(Scenario_Setup!$B$3&amp;" | Light",Scenario_Library!$C$4:$C$66,0)))+INDEX(Scenario_Library!$G$4:$G$66,MATCH(Scenario_Setup!$B$3&amp;" | Light",Scenario_Library!$C$4:$C$66,0))))-=MAX(0,Stress_Model!B10*(1+INDEX(Scenario_Library!$H$4:$H$66,MATCH(Scenario_Setup!$B$3&amp;" | Light",Scenario_Library!$C$4:$C$66,0))))-Stress_Model!B12-==MAX(0,Stress_Model!B15/MAX(Stress_Model!B43,0.01)+INDEX(Scenario_Library!$L$4:$L$66,MATCH(Scenario_Setup!$B$3&amp;" | Light",Scenario_Library!$C$4:$C$66,0))/10000)*Stress_Model!B43*(1-INDEX(Scenario_Library!$V$4:$V$66,MATCH(Scenario_Setup!$B$3&amp;" | Light",Scenario_Library!$C$4:$C$66,0)))+Stress_Model!B12-(==Stress_Model!B6*(1+INDEX(Scenario_Library!$E$4:$E$66,MATCH(Scenario_Setup!$B$3&amp;" | Light",Scenario_Library!$C$4:$C$66,0)))*=MAX(0,Stress_Model!B23+INDEX(Scenario_Library!$I$4:$I$66,MATCH(Scenario_Setup!$B$3&amp;" | Light",Scenario_Library!$C$4:$C$66,0)))/365-Stress_Model!B6*Stress_Model!B23/365)-(=(=Stress_Model!B6*(1+INDEX(Scenario_Library!$E$4:$E$66,MATCH(Scenario_Setup!$B$3&amp;" | Light",Scenario_Library!$C$4:$C$66,0)))-==Stress_Model!B6*(1+INDEX(Scenario_Library!$E$4:$E$66,MATCH(Scenario_Setup!$B$3&amp;" | Light",Scenario_Library!$C$4:$C$66,0)))*=MAX(-50%,MIN(90%,Stress_Model!B7+INDEX(Scenario_Library!$F$4:$F$66,MATCH(Scenario_Setup!$B$3&amp;" | Light",Scenario_Library!$C$4:$C$66,0))/10000)))*=MAX(0,Stress_Model!B24+INDEX(Scenario_Library!$J$4:$J$66,MATCH(Scenario_Setup!$B$3&amp;" | Light",Scenario_Library!$C$4:$C$66,0)))/365-Stress_Model!B22)+(=(=Stress_Model!B6*(1+INDEX(Scenario_Library!$E$4:$E$66,MATCH(Scenario_Setup!$B$3&amp;" | Light",Scenario_Library!$C$4:$C$66,0)))-==Stress_Model!B6*(1+INDEX(Scenario_Library!$E$4:$E$66,MATCH(Scenario_Setup!$B$3&amp;" | Light",Scenario_Library!$C$4:$C$66,0)))*=MAX(-50%,MIN(90%,Stress_Model!B7+INDEX(Scenario_Library!$F$4:$F$66,MATCH(Scenario_Setup!$B$3&amp;" | Light",Scenario_Library!$C$4:$C$66,0))/10000)))*=MAX(0,Stress_Model!B25+INDEX(Scenario_Library!$K$4:$K$66,MATCH(Scenario_Setup!$B$3&amp;" | Light",Scenario_Library!$C$4:$C$66,0)))/365-Stress_Model!B25*(Stress_Model!B6-Stress_Model!B8)/365)-=Stress_Model!B33*(1-INDEX(Scenario_Library!$P$4:$P$66,MATCH(Scenario_Setup!$B$3&amp;" | Light",Scenario_Library!$C$4:$C$66,0)))-=Stress_Model!B34*(1-INDEX(Scenario_Library!$Q$4:$Q$66,MATCH(Scenario_Setup!$B$3&amp;" | Light",Scenario_Library!$C$4:$C$66,0)))-=Stress_Model!B35*(1-INDEX(Scenario_Library!$R$4:$R$66,MATCH(Scenario_Setup!$B$3&amp;" | Light",Scenario_Library!$C$4:$C$66,0)))</f>
        <v/>
      </c>
      <c r="F17" s="46">
        <f>E17-C17</f>
        <v/>
      </c>
      <c r="H17" s="52">
        <f>Hist_Financials!D20+=======Stress_Model!B6*(1+INDEX(Scenario_Library!$E$4:$E$66,MATCH(Scenario_Setup!$B$3&amp;" | Base",Scenario_Library!$C$4:$C$66,0)))*=MAX(-50%,MIN(90%,Stress_Model!B7+INDEX(Scenario_Library!$F$4:$F$66,MATCH(Scenario_Setup!$B$3&amp;" | Base",Scenario_Library!$C$4:$C$66,0))/10000))-=MAX(0,Stress_Model!B9*(1+Scenario_Setup!B9*(INDEX(Scenario_Library!$E$4:$E$66,MATCH(Scenario_Setup!$B$3&amp;" | Base",Scenario_Library!$C$4:$C$66,0)))+INDEX(Scenario_Library!$G$4:$G$66,MATCH(Scenario_Setup!$B$3&amp;" | Base",Scenario_Library!$C$4:$C$66,0))))-=MAX(0,Stress_Model!B10*(1+INDEX(Scenario_Library!$H$4:$H$66,MATCH(Scenario_Setup!$B$3&amp;" | Base",Scenario_Library!$C$4:$C$66,0))))-Stress_Model!B12-==MAX(0,Stress_Model!B15/MAX(Stress_Model!B43,0.01)+INDEX(Scenario_Library!$L$4:$L$66,MATCH(Scenario_Setup!$B$3&amp;" | Base",Scenario_Library!$C$4:$C$66,0))/10000)*Stress_Model!B43*(1-INDEX(Scenario_Library!$V$4:$V$66,MATCH(Scenario_Setup!$B$3&amp;" | Base",Scenario_Library!$C$4:$C$66,0)))+Stress_Model!B12-(==Stress_Model!B6*(1+INDEX(Scenario_Library!$E$4:$E$66,MATCH(Scenario_Setup!$B$3&amp;" | Base",Scenario_Library!$C$4:$C$66,0)))*=MAX(0,Stress_Model!B23+INDEX(Scenario_Library!$I$4:$I$66,MATCH(Scenario_Setup!$B$3&amp;" | Base",Scenario_Library!$C$4:$C$66,0)))/365-Stress_Model!B6*Stress_Model!B23/365)-(=(=Stress_Model!B6*(1+INDEX(Scenario_Library!$E$4:$E$66,MATCH(Scenario_Setup!$B$3&amp;" | Base",Scenario_Library!$C$4:$C$66,0)))-==Stress_Model!B6*(1+INDEX(Scenario_Library!$E$4:$E$66,MATCH(Scenario_Setup!$B$3&amp;" | Base",Scenario_Library!$C$4:$C$66,0)))*=MAX(-50%,MIN(90%,Stress_Model!B7+INDEX(Scenario_Library!$F$4:$F$66,MATCH(Scenario_Setup!$B$3&amp;" | Base",Scenario_Library!$C$4:$C$66,0))/10000)))*=MAX(0,Stress_Model!B24+INDEX(Scenario_Library!$J$4:$J$66,MATCH(Scenario_Setup!$B$3&amp;" | Base",Scenario_Library!$C$4:$C$66,0)))/365-Stress_Model!B22)+(=(=Stress_Model!B6*(1+INDEX(Scenario_Library!$E$4:$E$66,MATCH(Scenario_Setup!$B$3&amp;" | Base",Scenario_Library!$C$4:$C$66,0)))-==Stress_Model!B6*(1+INDEX(Scenario_Library!$E$4:$E$66,MATCH(Scenario_Setup!$B$3&amp;" | Base",Scenario_Library!$C$4:$C$66,0)))*=MAX(-50%,MIN(90%,Stress_Model!B7+INDEX(Scenario_Library!$F$4:$F$66,MATCH(Scenario_Setup!$B$3&amp;" | Base",Scenario_Library!$C$4:$C$66,0))/10000)))*=MAX(0,Stress_Model!B25+INDEX(Scenario_Library!$K$4:$K$66,MATCH(Scenario_Setup!$B$3&amp;" | Base",Scenario_Library!$C$4:$C$66,0)))/365-Stress_Model!B25*(Stress_Model!B6-Stress_Model!B8)/365)-=Stress_Model!B33*(1-INDEX(Scenario_Library!$P$4:$P$66,MATCH(Scenario_Setup!$B$3&amp;" | Base",Scenario_Library!$C$4:$C$66,0)))-=Stress_Model!B34*(1-INDEX(Scenario_Library!$Q$4:$Q$66,MATCH(Scenario_Setup!$B$3&amp;" | Base",Scenario_Library!$C$4:$C$66,0)))-=Stress_Model!B35*(1-INDEX(Scenario_Library!$R$4:$R$66,MATCH(Scenario_Setup!$B$3&amp;" | Base",Scenario_Library!$C$4:$C$66,0)))</f>
        <v/>
      </c>
      <c r="I17" s="47">
        <f>H17-C17</f>
        <v/>
      </c>
      <c r="K17" s="53">
        <f>Hist_Financials!D20+=======Stress_Model!B6*(1+INDEX(Scenario_Library!$E$4:$E$66,MATCH(Scenario_Setup!$B$3&amp;" | Severe",Scenario_Library!$C$4:$C$66,0)))*=MAX(-50%,MIN(90%,Stress_Model!B7+INDEX(Scenario_Library!$F$4:$F$66,MATCH(Scenario_Setup!$B$3&amp;" | Severe",Scenario_Library!$C$4:$C$66,0))/10000))-=MAX(0,Stress_Model!B9*(1+Scenario_Setup!B9*(INDEX(Scenario_Library!$E$4:$E$66,MATCH(Scenario_Setup!$B$3&amp;" | Severe",Scenario_Library!$C$4:$C$66,0)))+INDEX(Scenario_Library!$G$4:$G$66,MATCH(Scenario_Setup!$B$3&amp;" | Severe",Scenario_Library!$C$4:$C$66,0))))-=MAX(0,Stress_Model!B10*(1+INDEX(Scenario_Library!$H$4:$H$66,MATCH(Scenario_Setup!$B$3&amp;" | Severe",Scenario_Library!$C$4:$C$66,0))))-Stress_Model!B12-==MAX(0,Stress_Model!B15/MAX(Stress_Model!B43,0.01)+INDEX(Scenario_Library!$L$4:$L$66,MATCH(Scenario_Setup!$B$3&amp;" | Severe",Scenario_Library!$C$4:$C$66,0))/10000)*Stress_Model!B43*(1-INDEX(Scenario_Library!$V$4:$V$66,MATCH(Scenario_Setup!$B$3&amp;" | Severe",Scenario_Library!$C$4:$C$66,0)))+Stress_Model!B12-(==Stress_Model!B6*(1+INDEX(Scenario_Library!$E$4:$E$66,MATCH(Scenario_Setup!$B$3&amp;" | Severe",Scenario_Library!$C$4:$C$66,0)))*=MAX(0,Stress_Model!B23+INDEX(Scenario_Library!$I$4:$I$66,MATCH(Scenario_Setup!$B$3&amp;" | Severe",Scenario_Library!$C$4:$C$66,0)))/365-Stress_Model!B6*Stress_Model!B23/365)-(=(=Stress_Model!B6*(1+INDEX(Scenario_Library!$E$4:$E$66,MATCH(Scenario_Setup!$B$3&amp;" | Severe",Scenario_Library!$C$4:$C$66,0)))-==Stress_Model!B6*(1+INDEX(Scenario_Library!$E$4:$E$66,MATCH(Scenario_Setup!$B$3&amp;" | Severe",Scenario_Library!$C$4:$C$66,0)))*=MAX(-50%,MIN(90%,Stress_Model!B7+INDEX(Scenario_Library!$F$4:$F$66,MATCH(Scenario_Setup!$B$3&amp;" | Severe",Scenario_Library!$C$4:$C$66,0))/10000)))*=MAX(0,Stress_Model!B24+INDEX(Scenario_Library!$J$4:$J$66,MATCH(Scenario_Setup!$B$3&amp;" | Severe",Scenario_Library!$C$4:$C$66,0)))/365-Stress_Model!B22)+(=(=Stress_Model!B6*(1+INDEX(Scenario_Library!$E$4:$E$66,MATCH(Scenario_Setup!$B$3&amp;" | Severe",Scenario_Library!$C$4:$C$66,0)))-==Stress_Model!B6*(1+INDEX(Scenario_Library!$E$4:$E$66,MATCH(Scenario_Setup!$B$3&amp;" | Severe",Scenario_Library!$C$4:$C$66,0)))*=MAX(-50%,MIN(90%,Stress_Model!B7+INDEX(Scenario_Library!$F$4:$F$66,MATCH(Scenario_Setup!$B$3&amp;" | Severe",Scenario_Library!$C$4:$C$66,0))/10000)))*=MAX(0,Stress_Model!B25+INDEX(Scenario_Library!$K$4:$K$66,MATCH(Scenario_Setup!$B$3&amp;" | Severe",Scenario_Library!$C$4:$C$66,0)))/365-Stress_Model!B25*(Stress_Model!B6-Stress_Model!B8)/365)-=Stress_Model!B33*(1-INDEX(Scenario_Library!$P$4:$P$66,MATCH(Scenario_Setup!$B$3&amp;" | Severe",Scenario_Library!$C$4:$C$66,0)))-=Stress_Model!B34*(1-INDEX(Scenario_Library!$Q$4:$Q$66,MATCH(Scenario_Setup!$B$3&amp;" | Severe",Scenario_Library!$C$4:$C$66,0)))-=Stress_Model!B35*(1-INDEX(Scenario_Library!$R$4:$R$66,MATCH(Scenario_Setup!$B$3&amp;" | Severe",Scenario_Library!$C$4:$C$66,0)))</f>
        <v/>
      </c>
      <c r="L17" s="48">
        <f>K17-C17</f>
        <v/>
      </c>
    </row>
    <row r="18" ht="20" customHeight="1" s="28">
      <c r="B18" s="49" t="inlineStr">
        <is>
          <t>Net Leverage</t>
        </is>
      </c>
      <c r="C18" s="58">
        <f>Stress_Model!B48</f>
        <v/>
      </c>
      <c r="E18" s="59">
        <f>IFERROR((Stress_Model!B43-=Hist_Financials!D20+=======Stress_Model!B6*(1+INDEX(Scenario_Library!$E$4:$E$66,MATCH(Scenario_Setup!$B$3&amp;" | Light",Scenario_Library!$C$4:$C$66,0)))*=MAX(-50%,MIN(90%,Stress_Model!B7+INDEX(Scenario_Library!$F$4:$F$66,MATCH(Scenario_Setup!$B$3&amp;" | Light",Scenario_Library!$C$4:$C$66,0))/10000))-=MAX(0,Stress_Model!B9*(1+Scenario_Setup!B9*(INDEX(Scenario_Library!$E$4:$E$66,MATCH(Scenario_Setup!$B$3&amp;" | Light",Scenario_Library!$C$4:$C$66,0)))+INDEX(Scenario_Library!$G$4:$G$66,MATCH(Scenario_Setup!$B$3&amp;" | Light",Scenario_Library!$C$4:$C$66,0))))-=MAX(0,Stress_Model!B10*(1+INDEX(Scenario_Library!$H$4:$H$66,MATCH(Scenario_Setup!$B$3&amp;" | Light",Scenario_Library!$C$4:$C$66,0))))-Stress_Model!B12-==MAX(0,Stress_Model!B15/MAX(Stress_Model!B43,0.01)+INDEX(Scenario_Library!$L$4:$L$66,MATCH(Scenario_Setup!$B$3&amp;" | Light",Scenario_Library!$C$4:$C$66,0))/10000)*Stress_Model!B43*(1-INDEX(Scenario_Library!$V$4:$V$66,MATCH(Scenario_Setup!$B$3&amp;" | Light",Scenario_Library!$C$4:$C$66,0)))+Stress_Model!B12-(==Stress_Model!B6*(1+INDEX(Scenario_Library!$E$4:$E$66,MATCH(Scenario_Setup!$B$3&amp;" | Light",Scenario_Library!$C$4:$C$66,0)))*=MAX(0,Stress_Model!B23+INDEX(Scenario_Library!$I$4:$I$66,MATCH(Scenario_Setup!$B$3&amp;" | Light",Scenario_Library!$C$4:$C$66,0)))/365-Stress_Model!B6*Stress_Model!B23/365)-(=(=Stress_Model!B6*(1+INDEX(Scenario_Library!$E$4:$E$66,MATCH(Scenario_Setup!$B$3&amp;" | Light",Scenario_Library!$C$4:$C$66,0)))-==Stress_Model!B6*(1+INDEX(Scenario_Library!$E$4:$E$66,MATCH(Scenario_Setup!$B$3&amp;" | Light",Scenario_Library!$C$4:$C$66,0)))*=MAX(-50%,MIN(90%,Stress_Model!B7+INDEX(Scenario_Library!$F$4:$F$66,MATCH(Scenario_Setup!$B$3&amp;" | Light",Scenario_Library!$C$4:$C$66,0))/10000)))*=MAX(0,Stress_Model!B24+INDEX(Scenario_Library!$J$4:$J$66,MATCH(Scenario_Setup!$B$3&amp;" | Light",Scenario_Library!$C$4:$C$66,0)))/365-Stress_Model!B22)+(=(=Stress_Model!B6*(1+INDEX(Scenario_Library!$E$4:$E$66,MATCH(Scenario_Setup!$B$3&amp;" | Light",Scenario_Library!$C$4:$C$66,0)))-==Stress_Model!B6*(1+INDEX(Scenario_Library!$E$4:$E$66,MATCH(Scenario_Setup!$B$3&amp;" | Light",Scenario_Library!$C$4:$C$66,0)))*=MAX(-50%,MIN(90%,Stress_Model!B7+INDEX(Scenario_Library!$F$4:$F$66,MATCH(Scenario_Setup!$B$3&amp;" | Light",Scenario_Library!$C$4:$C$66,0))/10000)))*=MAX(0,Stress_Model!B25+INDEX(Scenario_Library!$K$4:$K$66,MATCH(Scenario_Setup!$B$3&amp;" | Light",Scenario_Library!$C$4:$C$66,0)))/365-Stress_Model!B25*(Stress_Model!B6-Stress_Model!B8)/365)-=Stress_Model!B33*(1-INDEX(Scenario_Library!$P$4:$P$66,MATCH(Scenario_Setup!$B$3&amp;" | Light",Scenario_Library!$C$4:$C$66,0)))-=Stress_Model!B34*(1-INDEX(Scenario_Library!$Q$4:$Q$66,MATCH(Scenario_Setup!$B$3&amp;" | Light",Scenario_Library!$C$4:$C$66,0)))-=Stress_Model!B35*(1-INDEX(Scenario_Library!$R$4:$R$66,MATCH(Scenario_Setup!$B$3&amp;" | Light",Scenario_Library!$C$4:$C$66,0))))/MAX(===Stress_Model!B6*(1+INDEX(Scenario_Library!$E$4:$E$66,MATCH(Scenario_Setup!$B$3&amp;" | Light",Scenario_Library!$C$4:$C$66,0)))*=MAX(-50%,MIN(90%,Stress_Model!B7+INDEX(Scenario_Library!$F$4:$F$66,MATCH(Scenario_Setup!$B$3&amp;" | Light",Scenario_Library!$C$4:$C$66,0))/10000))-=MAX(0,Stress_Model!B9*(1+Scenario_Setup!B9*(INDEX(Scenario_Library!$E$4:$E$66,MATCH(Scenario_Setup!$B$3&amp;" | Light",Scenario_Library!$C$4:$C$66,0)))+INDEX(Scenario_Library!$G$4:$G$66,MATCH(Scenario_Setup!$B$3&amp;" | Light",Scenario_Library!$C$4:$C$66,0))))-=MAX(0,Stress_Model!B10*(1+INDEX(Scenario_Library!$H$4:$H$66,MATCH(Scenario_Setup!$B$3&amp;" | Light",Scenario_Library!$C$4:$C$66,0)))),0.01),0)</f>
        <v/>
      </c>
      <c r="F18" s="60">
        <f>E18-C18</f>
        <v/>
      </c>
      <c r="H18" s="61">
        <f>IFERROR((Stress_Model!B43-=Hist_Financials!D20+=======Stress_Model!B6*(1+INDEX(Scenario_Library!$E$4:$E$66,MATCH(Scenario_Setup!$B$3&amp;" | Base",Scenario_Library!$C$4:$C$66,0)))*=MAX(-50%,MIN(90%,Stress_Model!B7+INDEX(Scenario_Library!$F$4:$F$66,MATCH(Scenario_Setup!$B$3&amp;" | Base",Scenario_Library!$C$4:$C$66,0))/10000))-=MAX(0,Stress_Model!B9*(1+Scenario_Setup!B9*(INDEX(Scenario_Library!$E$4:$E$66,MATCH(Scenario_Setup!$B$3&amp;" | Base",Scenario_Library!$C$4:$C$66,0)))+INDEX(Scenario_Library!$G$4:$G$66,MATCH(Scenario_Setup!$B$3&amp;" | Base",Scenario_Library!$C$4:$C$66,0))))-=MAX(0,Stress_Model!B10*(1+INDEX(Scenario_Library!$H$4:$H$66,MATCH(Scenario_Setup!$B$3&amp;" | Base",Scenario_Library!$C$4:$C$66,0))))-Stress_Model!B12-==MAX(0,Stress_Model!B15/MAX(Stress_Model!B43,0.01)+INDEX(Scenario_Library!$L$4:$L$66,MATCH(Scenario_Setup!$B$3&amp;" | Base",Scenario_Library!$C$4:$C$66,0))/10000)*Stress_Model!B43*(1-INDEX(Scenario_Library!$V$4:$V$66,MATCH(Scenario_Setup!$B$3&amp;" | Base",Scenario_Library!$C$4:$C$66,0)))+Stress_Model!B12-(==Stress_Model!B6*(1+INDEX(Scenario_Library!$E$4:$E$66,MATCH(Scenario_Setup!$B$3&amp;" | Base",Scenario_Library!$C$4:$C$66,0)))*=MAX(0,Stress_Model!B23+INDEX(Scenario_Library!$I$4:$I$66,MATCH(Scenario_Setup!$B$3&amp;" | Base",Scenario_Library!$C$4:$C$66,0)))/365-Stress_Model!B6*Stress_Model!B23/365)-(=(=Stress_Model!B6*(1+INDEX(Scenario_Library!$E$4:$E$66,MATCH(Scenario_Setup!$B$3&amp;" | Base",Scenario_Library!$C$4:$C$66,0)))-==Stress_Model!B6*(1+INDEX(Scenario_Library!$E$4:$E$66,MATCH(Scenario_Setup!$B$3&amp;" | Base",Scenario_Library!$C$4:$C$66,0)))*=MAX(-50%,MIN(90%,Stress_Model!B7+INDEX(Scenario_Library!$F$4:$F$66,MATCH(Scenario_Setup!$B$3&amp;" | Base",Scenario_Library!$C$4:$C$66,0))/10000)))*=MAX(0,Stress_Model!B24+INDEX(Scenario_Library!$J$4:$J$66,MATCH(Scenario_Setup!$B$3&amp;" | Base",Scenario_Library!$C$4:$C$66,0)))/365-Stress_Model!B22)+(=(=Stress_Model!B6*(1+INDEX(Scenario_Library!$E$4:$E$66,MATCH(Scenario_Setup!$B$3&amp;" | Base",Scenario_Library!$C$4:$C$66,0)))-==Stress_Model!B6*(1+INDEX(Scenario_Library!$E$4:$E$66,MATCH(Scenario_Setup!$B$3&amp;" | Base",Scenario_Library!$C$4:$C$66,0)))*=MAX(-50%,MIN(90%,Stress_Model!B7+INDEX(Scenario_Library!$F$4:$F$66,MATCH(Scenario_Setup!$B$3&amp;" | Base",Scenario_Library!$C$4:$C$66,0))/10000)))*=MAX(0,Stress_Model!B25+INDEX(Scenario_Library!$K$4:$K$66,MATCH(Scenario_Setup!$B$3&amp;" | Base",Scenario_Library!$C$4:$C$66,0)))/365-Stress_Model!B25*(Stress_Model!B6-Stress_Model!B8)/365)-=Stress_Model!B33*(1-INDEX(Scenario_Library!$P$4:$P$66,MATCH(Scenario_Setup!$B$3&amp;" | Base",Scenario_Library!$C$4:$C$66,0)))-=Stress_Model!B34*(1-INDEX(Scenario_Library!$Q$4:$Q$66,MATCH(Scenario_Setup!$B$3&amp;" | Base",Scenario_Library!$C$4:$C$66,0)))-=Stress_Model!B35*(1-INDEX(Scenario_Library!$R$4:$R$66,MATCH(Scenario_Setup!$B$3&amp;" | Base",Scenario_Library!$C$4:$C$66,0))))/MAX(===Stress_Model!B6*(1+INDEX(Scenario_Library!$E$4:$E$66,MATCH(Scenario_Setup!$B$3&amp;" | Base",Scenario_Library!$C$4:$C$66,0)))*=MAX(-50%,MIN(90%,Stress_Model!B7+INDEX(Scenario_Library!$F$4:$F$66,MATCH(Scenario_Setup!$B$3&amp;" | Base",Scenario_Library!$C$4:$C$66,0))/10000))-=MAX(0,Stress_Model!B9*(1+Scenario_Setup!B9*(INDEX(Scenario_Library!$E$4:$E$66,MATCH(Scenario_Setup!$B$3&amp;" | Base",Scenario_Library!$C$4:$C$66,0)))+INDEX(Scenario_Library!$G$4:$G$66,MATCH(Scenario_Setup!$B$3&amp;" | Base",Scenario_Library!$C$4:$C$66,0))))-=MAX(0,Stress_Model!B10*(1+INDEX(Scenario_Library!$H$4:$H$66,MATCH(Scenario_Setup!$B$3&amp;" | Base",Scenario_Library!$C$4:$C$66,0)))),0.01),0)</f>
        <v/>
      </c>
      <c r="I18" s="62">
        <f>H18-C18</f>
        <v/>
      </c>
      <c r="K18" s="63">
        <f>IFERROR((Stress_Model!B43-=Hist_Financials!D20+=======Stress_Model!B6*(1+INDEX(Scenario_Library!$E$4:$E$66,MATCH(Scenario_Setup!$B$3&amp;" | Severe",Scenario_Library!$C$4:$C$66,0)))*=MAX(-50%,MIN(90%,Stress_Model!B7+INDEX(Scenario_Library!$F$4:$F$66,MATCH(Scenario_Setup!$B$3&amp;" | Severe",Scenario_Library!$C$4:$C$66,0))/10000))-=MAX(0,Stress_Model!B9*(1+Scenario_Setup!B9*(INDEX(Scenario_Library!$E$4:$E$66,MATCH(Scenario_Setup!$B$3&amp;" | Severe",Scenario_Library!$C$4:$C$66,0)))+INDEX(Scenario_Library!$G$4:$G$66,MATCH(Scenario_Setup!$B$3&amp;" | Severe",Scenario_Library!$C$4:$C$66,0))))-=MAX(0,Stress_Model!B10*(1+INDEX(Scenario_Library!$H$4:$H$66,MATCH(Scenario_Setup!$B$3&amp;" | Severe",Scenario_Library!$C$4:$C$66,0))))-Stress_Model!B12-==MAX(0,Stress_Model!B15/MAX(Stress_Model!B43,0.01)+INDEX(Scenario_Library!$L$4:$L$66,MATCH(Scenario_Setup!$B$3&amp;" | Severe",Scenario_Library!$C$4:$C$66,0))/10000)*Stress_Model!B43*(1-INDEX(Scenario_Library!$V$4:$V$66,MATCH(Scenario_Setup!$B$3&amp;" | Severe",Scenario_Library!$C$4:$C$66,0)))+Stress_Model!B12-(==Stress_Model!B6*(1+INDEX(Scenario_Library!$E$4:$E$66,MATCH(Scenario_Setup!$B$3&amp;" | Severe",Scenario_Library!$C$4:$C$66,0)))*=MAX(0,Stress_Model!B23+INDEX(Scenario_Library!$I$4:$I$66,MATCH(Scenario_Setup!$B$3&amp;" | Severe",Scenario_Library!$C$4:$C$66,0)))/365-Stress_Model!B6*Stress_Model!B23/365)-(=(=Stress_Model!B6*(1+INDEX(Scenario_Library!$E$4:$E$66,MATCH(Scenario_Setup!$B$3&amp;" | Severe",Scenario_Library!$C$4:$C$66,0)))-==Stress_Model!B6*(1+INDEX(Scenario_Library!$E$4:$E$66,MATCH(Scenario_Setup!$B$3&amp;" | Severe",Scenario_Library!$C$4:$C$66,0)))*=MAX(-50%,MIN(90%,Stress_Model!B7+INDEX(Scenario_Library!$F$4:$F$66,MATCH(Scenario_Setup!$B$3&amp;" | Severe",Scenario_Library!$C$4:$C$66,0))/10000)))*=MAX(0,Stress_Model!B24+INDEX(Scenario_Library!$J$4:$J$66,MATCH(Scenario_Setup!$B$3&amp;" | Severe",Scenario_Library!$C$4:$C$66,0)))/365-Stress_Model!B22)+(=(=Stress_Model!B6*(1+INDEX(Scenario_Library!$E$4:$E$66,MATCH(Scenario_Setup!$B$3&amp;" | Severe",Scenario_Library!$C$4:$C$66,0)))-==Stress_Model!B6*(1+INDEX(Scenario_Library!$E$4:$E$66,MATCH(Scenario_Setup!$B$3&amp;" | Severe",Scenario_Library!$C$4:$C$66,0)))*=MAX(-50%,MIN(90%,Stress_Model!B7+INDEX(Scenario_Library!$F$4:$F$66,MATCH(Scenario_Setup!$B$3&amp;" | Severe",Scenario_Library!$C$4:$C$66,0))/10000)))*=MAX(0,Stress_Model!B25+INDEX(Scenario_Library!$K$4:$K$66,MATCH(Scenario_Setup!$B$3&amp;" | Severe",Scenario_Library!$C$4:$C$66,0)))/365-Stress_Model!B25*(Stress_Model!B6-Stress_Model!B8)/365)-=Stress_Model!B33*(1-INDEX(Scenario_Library!$P$4:$P$66,MATCH(Scenario_Setup!$B$3&amp;" | Severe",Scenario_Library!$C$4:$C$66,0)))-=Stress_Model!B34*(1-INDEX(Scenario_Library!$Q$4:$Q$66,MATCH(Scenario_Setup!$B$3&amp;" | Severe",Scenario_Library!$C$4:$C$66,0)))-=Stress_Model!B35*(1-INDEX(Scenario_Library!$R$4:$R$66,MATCH(Scenario_Setup!$B$3&amp;" | Severe",Scenario_Library!$C$4:$C$66,0))))/MAX(===Stress_Model!B6*(1+INDEX(Scenario_Library!$E$4:$E$66,MATCH(Scenario_Setup!$B$3&amp;" | Severe",Scenario_Library!$C$4:$C$66,0)))*=MAX(-50%,MIN(90%,Stress_Model!B7+INDEX(Scenario_Library!$F$4:$F$66,MATCH(Scenario_Setup!$B$3&amp;" | Severe",Scenario_Library!$C$4:$C$66,0))/10000))-=MAX(0,Stress_Model!B9*(1+Scenario_Setup!B9*(INDEX(Scenario_Library!$E$4:$E$66,MATCH(Scenario_Setup!$B$3&amp;" | Severe",Scenario_Library!$C$4:$C$66,0)))+INDEX(Scenario_Library!$G$4:$G$66,MATCH(Scenario_Setup!$B$3&amp;" | Severe",Scenario_Library!$C$4:$C$66,0))))-=MAX(0,Stress_Model!B10*(1+INDEX(Scenario_Library!$H$4:$H$66,MATCH(Scenario_Setup!$B$3&amp;" | Severe",Scenario_Library!$C$4:$C$66,0)))),0.01),0)</f>
        <v/>
      </c>
      <c r="L18" s="64">
        <f>K18-C18</f>
        <v/>
      </c>
    </row>
    <row r="19" ht="20" customHeight="1" s="28">
      <c r="B19" s="49" t="inlineStr">
        <is>
          <t>Int Coverage</t>
        </is>
      </c>
      <c r="C19" s="58">
        <f>Stress_Model!B49</f>
        <v/>
      </c>
      <c r="E19" s="59">
        <f>IFERROR(====Stress_Model!B6*(1+INDEX(Scenario_Library!$E$4:$E$66,MATCH(Scenario_Setup!$B$3&amp;" | Light",Scenario_Library!$C$4:$C$66,0)))*=MAX(-50%,MIN(90%,Stress_Model!B7+INDEX(Scenario_Library!$F$4:$F$66,MATCH(Scenario_Setup!$B$3&amp;" | Light",Scenario_Library!$C$4:$C$66,0))/10000))-=MAX(0,Stress_Model!B9*(1+Scenario_Setup!B9*(INDEX(Scenario_Library!$E$4:$E$66,MATCH(Scenario_Setup!$B$3&amp;" | Light",Scenario_Library!$C$4:$C$66,0)))+INDEX(Scenario_Library!$G$4:$G$66,MATCH(Scenario_Setup!$B$3&amp;" | Light",Scenario_Library!$C$4:$C$66,0))))-=MAX(0,Stress_Model!B10*(1+INDEX(Scenario_Library!$H$4:$H$66,MATCH(Scenario_Setup!$B$3&amp;" | Light",Scenario_Library!$C$4:$C$66,0))))-Stress_Model!B12/MAX(==MAX(0,Stress_Model!B15/MAX(Stress_Model!B43,0.01)+INDEX(Scenario_Library!$L$4:$L$66,MATCH(Scenario_Setup!$B$3&amp;" | Light",Scenario_Library!$C$4:$C$66,0))/10000)*Stress_Model!B43,0.01),999)</f>
        <v/>
      </c>
      <c r="F19" s="60">
        <f>E19-C19</f>
        <v/>
      </c>
      <c r="H19" s="61">
        <f>IFERROR(====Stress_Model!B6*(1+INDEX(Scenario_Library!$E$4:$E$66,MATCH(Scenario_Setup!$B$3&amp;" | Base",Scenario_Library!$C$4:$C$66,0)))*=MAX(-50%,MIN(90%,Stress_Model!B7+INDEX(Scenario_Library!$F$4:$F$66,MATCH(Scenario_Setup!$B$3&amp;" | Base",Scenario_Library!$C$4:$C$66,0))/10000))-=MAX(0,Stress_Model!B9*(1+Scenario_Setup!B9*(INDEX(Scenario_Library!$E$4:$E$66,MATCH(Scenario_Setup!$B$3&amp;" | Base",Scenario_Library!$C$4:$C$66,0)))+INDEX(Scenario_Library!$G$4:$G$66,MATCH(Scenario_Setup!$B$3&amp;" | Base",Scenario_Library!$C$4:$C$66,0))))-=MAX(0,Stress_Model!B10*(1+INDEX(Scenario_Library!$H$4:$H$66,MATCH(Scenario_Setup!$B$3&amp;" | Base",Scenario_Library!$C$4:$C$66,0))))-Stress_Model!B12/MAX(==MAX(0,Stress_Model!B15/MAX(Stress_Model!B43,0.01)+INDEX(Scenario_Library!$L$4:$L$66,MATCH(Scenario_Setup!$B$3&amp;" | Base",Scenario_Library!$C$4:$C$66,0))/10000)*Stress_Model!B43,0.01),999)</f>
        <v/>
      </c>
      <c r="I19" s="62">
        <f>H19-C19</f>
        <v/>
      </c>
      <c r="K19" s="63">
        <f>IFERROR(====Stress_Model!B6*(1+INDEX(Scenario_Library!$E$4:$E$66,MATCH(Scenario_Setup!$B$3&amp;" | Severe",Scenario_Library!$C$4:$C$66,0)))*=MAX(-50%,MIN(90%,Stress_Model!B7+INDEX(Scenario_Library!$F$4:$F$66,MATCH(Scenario_Setup!$B$3&amp;" | Severe",Scenario_Library!$C$4:$C$66,0))/10000))-=MAX(0,Stress_Model!B9*(1+Scenario_Setup!B9*(INDEX(Scenario_Library!$E$4:$E$66,MATCH(Scenario_Setup!$B$3&amp;" | Severe",Scenario_Library!$C$4:$C$66,0)))+INDEX(Scenario_Library!$G$4:$G$66,MATCH(Scenario_Setup!$B$3&amp;" | Severe",Scenario_Library!$C$4:$C$66,0))))-=MAX(0,Stress_Model!B10*(1+INDEX(Scenario_Library!$H$4:$H$66,MATCH(Scenario_Setup!$B$3&amp;" | Severe",Scenario_Library!$C$4:$C$66,0))))-Stress_Model!B12/MAX(==MAX(0,Stress_Model!B15/MAX(Stress_Model!B43,0.01)+INDEX(Scenario_Library!$L$4:$L$66,MATCH(Scenario_Setup!$B$3&amp;" | Severe",Scenario_Library!$C$4:$C$66,0))/10000)*Stress_Model!B43,0.01),999)</f>
        <v/>
      </c>
      <c r="L19" s="64">
        <f>K19-C19</f>
        <v/>
      </c>
    </row>
    <row r="21" ht="20" customHeight="1" s="28">
      <c r="B21" s="43" t="inlineStr">
        <is>
          <t xml:space="preserve">  DISTRESS FLAGS</t>
        </is>
      </c>
    </row>
    <row r="22" ht="22" customHeight="1" s="28">
      <c r="B22" s="49" t="inlineStr">
        <is>
          <t>FCF Positive?</t>
        </is>
      </c>
      <c r="E22" s="65">
        <f>IF(E15&gt;0,"✓ YES","✗ NO")</f>
        <v/>
      </c>
      <c r="F22" s="66" t="n"/>
      <c r="H22" s="67">
        <f>IF(H15&gt;0,"✓ YES","✗ NO")</f>
        <v/>
      </c>
      <c r="I22" s="66" t="n"/>
      <c r="K22" s="68">
        <f>IF(K15&gt;0,"✓ YES","✗ NO")</f>
        <v/>
      </c>
      <c r="L22" s="66" t="n"/>
    </row>
    <row r="23" ht="22" customHeight="1" s="28">
      <c r="B23" s="49" t="inlineStr">
        <is>
          <t>Lev. OK?</t>
        </is>
      </c>
      <c r="E23" s="65">
        <f>IF(E18&lt;=Scenario_Setup!B13,"✓ YES","✗ NO")</f>
        <v/>
      </c>
      <c r="F23" s="66" t="n"/>
      <c r="H23" s="67">
        <f>IF(H18&lt;=Scenario_Setup!B13,"✓ YES","✗ NO")</f>
        <v/>
      </c>
      <c r="I23" s="66" t="n"/>
      <c r="K23" s="68">
        <f>IF(K18&lt;=Scenario_Setup!B13,"✓ YES","✗ NO")</f>
        <v/>
      </c>
      <c r="L23" s="66" t="n"/>
    </row>
    <row r="24" ht="22" customHeight="1" s="28">
      <c r="B24" s="49" t="inlineStr">
        <is>
          <t>Coverage OK?</t>
        </is>
      </c>
      <c r="E24" s="65">
        <f>IF(E19&gt;=Scenario_Setup!B12,"✓ YES","✗ NO")</f>
        <v/>
      </c>
      <c r="F24" s="66" t="n"/>
      <c r="H24" s="67">
        <f>IF(H19&gt;=Scenario_Setup!B12,"✓ YES","✗ NO")</f>
        <v/>
      </c>
      <c r="I24" s="66" t="n"/>
      <c r="K24" s="68">
        <f>IF(K19&gt;=Scenario_Setup!B12,"✓ YES","✗ NO")</f>
        <v/>
      </c>
      <c r="L24" s="66" t="n"/>
    </row>
    <row r="25" ht="22" customHeight="1" s="28">
      <c r="B25" s="49" t="inlineStr">
        <is>
          <t>Cash OK?</t>
        </is>
      </c>
      <c r="E25" s="65">
        <f>IF(E17&gt;=Scenario_Setup!B11,"✓ YES","✗ NO")</f>
        <v/>
      </c>
      <c r="F25" s="66" t="n"/>
      <c r="H25" s="67">
        <f>IF(H17&gt;=Scenario_Setup!B11,"✓ YES","✗ NO")</f>
        <v/>
      </c>
      <c r="I25" s="66" t="n"/>
      <c r="K25" s="68">
        <f>IF(K17&gt;=Scenario_Setup!B11,"✓ YES","✗ NO")</f>
        <v/>
      </c>
      <c r="L25" s="66" t="n"/>
    </row>
  </sheetData>
  <mergeCells count="22">
    <mergeCell ref="K25:L25"/>
    <mergeCell ref="B16:L16"/>
    <mergeCell ref="E24:F24"/>
    <mergeCell ref="K24:L24"/>
    <mergeCell ref="E23:F23"/>
    <mergeCell ref="H4:I4"/>
    <mergeCell ref="E4:F4"/>
    <mergeCell ref="H25:I25"/>
    <mergeCell ref="B12:L12"/>
    <mergeCell ref="B21:L21"/>
    <mergeCell ref="K22:L22"/>
    <mergeCell ref="B3:N3"/>
    <mergeCell ref="K23:L23"/>
    <mergeCell ref="H22:I22"/>
    <mergeCell ref="B2:N2"/>
    <mergeCell ref="B6:L6"/>
    <mergeCell ref="B1:N1"/>
    <mergeCell ref="E25:F25"/>
    <mergeCell ref="H24:I24"/>
    <mergeCell ref="E22:F22"/>
    <mergeCell ref="H23:I23"/>
    <mergeCell ref="K4:L4"/>
  </mergeCells>
  <conditionalFormatting sqref="F7:F20">
    <cfRule type="cellIs" priority="1" operator="lessThan" dxfId="3">
      <formula>0</formula>
    </cfRule>
    <cfRule type="cellIs" priority="2" operator="greaterThan" dxfId="4">
      <formula>0</formula>
    </cfRule>
  </conditionalFormatting>
  <conditionalFormatting sqref="I7:I20">
    <cfRule type="cellIs" priority="3" operator="lessThan" dxfId="3">
      <formula>0</formula>
    </cfRule>
    <cfRule type="cellIs" priority="4" operator="greaterThan" dxfId="4">
      <formula>0</formula>
    </cfRule>
  </conditionalFormatting>
  <conditionalFormatting sqref="L7:L20">
    <cfRule type="cellIs" priority="5" operator="lessThan" dxfId="3">
      <formula>0</formula>
    </cfRule>
    <cfRule type="cellIs" priority="6" operator="greaterThan" dxfId="4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FFFF"/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5"/>
  <cols>
    <col width="30" customWidth="1" style="28" min="1" max="2"/>
    <col width="80" customWidth="1" style="28" min="2" max="2"/>
    <col width="14" customWidth="1" style="28" min="3" max="8"/>
  </cols>
  <sheetData>
    <row r="1" ht="30" customHeight="1" s="28">
      <c r="A1" s="69" t="inlineStr">
        <is>
          <t>"WHAT IF..." COMPANY STRESS TEST  |  SeQuant Capital</t>
        </is>
      </c>
      <c r="B1" s="32" t="n"/>
      <c r="C1" s="32" t="n"/>
      <c r="D1" s="32" t="n"/>
      <c r="E1" s="32" t="n"/>
      <c r="F1" s="32" t="n"/>
      <c r="G1" s="32" t="n"/>
      <c r="H1" s="33" t="n"/>
    </row>
    <row r="3" ht="22" customHeight="1" s="28">
      <c r="A3" s="70" t="inlineStr">
        <is>
          <t>HOW TO USE THIS WORKBOOK</t>
        </is>
      </c>
      <c r="B3" s="33" t="n"/>
    </row>
    <row r="4" ht="36" customHeight="1" s="28">
      <c r="A4" s="49" t="inlineStr">
        <is>
          <t>Purpose</t>
        </is>
      </c>
      <c r="B4" s="71" t="inlineStr">
        <is>
          <t>Stress test a single company using only income statement, balance sheet, and cash flow data.</t>
        </is>
      </c>
      <c r="C4" s="202" t="n"/>
      <c r="D4" s="202" t="n"/>
      <c r="E4" s="202" t="n"/>
      <c r="F4" s="202" t="n"/>
      <c r="G4" s="202" t="n"/>
      <c r="H4" s="66" t="n"/>
    </row>
    <row r="5" ht="36" customHeight="1" s="28">
      <c r="A5" s="49" t="inlineStr">
        <is>
          <t>Workflow</t>
        </is>
      </c>
      <c r="B5" s="71" t="inlineStr">
        <is>
          <t>1) Enter three historical years in Hist_Financials. 2) Pick a sequence and severity in Scenario_Setup. 3) Override any driver if needed. 4) Review Stress_Model and Dashboard.</t>
        </is>
      </c>
      <c r="C5" s="202" t="n"/>
      <c r="D5" s="202" t="n"/>
      <c r="E5" s="202" t="n"/>
      <c r="F5" s="202" t="n"/>
      <c r="G5" s="202" t="n"/>
      <c r="H5" s="66" t="n"/>
    </row>
    <row r="6" ht="36" customHeight="1" s="28">
      <c r="A6" s="49" t="inlineStr">
        <is>
          <t>What-if library</t>
        </is>
      </c>
      <c r="B6" s="71" t="inlineStr">
        <is>
          <t>The workbook now includes 20 cause -&gt; effect sequences plus Light, Base, and Severe versions for each one.</t>
        </is>
      </c>
      <c r="C6" s="202" t="n"/>
      <c r="D6" s="202" t="n"/>
      <c r="E6" s="202" t="n"/>
      <c r="F6" s="202" t="n"/>
      <c r="G6" s="202" t="n"/>
      <c r="H6" s="66" t="n"/>
    </row>
    <row r="7" ht="36" customHeight="1" s="28">
      <c r="A7" s="49" t="inlineStr">
        <is>
          <t>Key design</t>
        </is>
      </c>
      <c r="B7" s="71" t="inlineStr">
        <is>
          <t>Each sequence maps into driver inputs -&gt; statement impact -&gt; outputs. The focus is on the combinations of smaller changes that break the company.</t>
        </is>
      </c>
      <c r="C7" s="202" t="n"/>
      <c r="D7" s="202" t="n"/>
      <c r="E7" s="202" t="n"/>
      <c r="F7" s="202" t="n"/>
      <c r="G7" s="202" t="n"/>
      <c r="H7" s="66" t="n"/>
    </row>
    <row r="8" ht="36" customHeight="1" s="28">
      <c r="A8" s="49" t="inlineStr">
        <is>
          <t>GM / 2008 use</t>
        </is>
      </c>
      <c r="B8" s="71" t="inlineStr">
        <is>
          <t>Start with Demand collapse (classic recession) or Full death spiral. Those are the closest generic templates for a 2008-style crisis.</t>
        </is>
      </c>
      <c r="C8" s="202" t="n"/>
      <c r="D8" s="202" t="n"/>
      <c r="E8" s="202" t="n"/>
      <c r="F8" s="202" t="n"/>
      <c r="G8" s="202" t="n"/>
      <c r="H8" s="66" t="n"/>
    </row>
    <row r="9" ht="36" customHeight="1" s="28">
      <c r="A9" s="49" t="inlineStr">
        <is>
          <t>Core outputs</t>
        </is>
      </c>
      <c r="B9" s="71" t="inlineStr">
        <is>
          <t>Revenue, EBITDA, EBIT, net income, modeled CFO, ending cash, funding gap, net debt / EBITDA, EBIT / interest, current ratio, and ending equity.</t>
        </is>
      </c>
      <c r="C9" s="202" t="n"/>
      <c r="D9" s="202" t="n"/>
      <c r="E9" s="202" t="n"/>
      <c r="F9" s="202" t="n"/>
      <c r="G9" s="202" t="n"/>
      <c r="H9" s="66" t="n"/>
    </row>
    <row r="10" ht="36" customHeight="1" s="28">
      <c r="A10" s="49" t="inlineStr">
        <is>
          <t>New driver</t>
        </is>
      </c>
      <c r="B10" s="71" t="inlineStr">
        <is>
          <t>One-off cash charge % of revenue lets you model litigation, fines, recalls, or other cash events that hit earnings and liquidity together.</t>
        </is>
      </c>
      <c r="C10" s="202" t="n"/>
      <c r="D10" s="202" t="n"/>
      <c r="E10" s="202" t="n"/>
      <c r="F10" s="202" t="n"/>
      <c r="G10" s="202" t="n"/>
      <c r="H10" s="66" t="n"/>
    </row>
    <row r="11" ht="36" customHeight="1" s="28">
      <c r="A11" s="49" t="inlineStr">
        <is>
          <t>Capex note</t>
        </is>
      </c>
      <c r="B11" s="71" t="inlineStr">
        <is>
          <t>Capex cut % can be negative. A negative value means capex increases, which is useful for capex overruns or compliance projects.</t>
        </is>
      </c>
      <c r="C11" s="202" t="n"/>
      <c r="D11" s="202" t="n"/>
      <c r="E11" s="202" t="n"/>
      <c r="F11" s="202" t="n"/>
      <c r="G11" s="202" t="n"/>
      <c r="H11" s="66" t="n"/>
    </row>
    <row r="12" ht="36" customHeight="1" s="28">
      <c r="A12" s="49" t="inlineStr">
        <is>
          <t>Limitations</t>
        </is>
      </c>
      <c r="B12" s="71" t="inlineStr">
        <is>
          <t>This is a fast screening framework. It does not capture segment detail, pension liabilities, covenant definitions, off-balance-sheet exposures, or equity market reflexivity.</t>
        </is>
      </c>
      <c r="C12" s="202" t="n"/>
      <c r="D12" s="202" t="n"/>
      <c r="E12" s="202" t="n"/>
      <c r="F12" s="202" t="n"/>
      <c r="G12" s="202" t="n"/>
      <c r="H12" s="66" t="n"/>
    </row>
    <row r="14" ht="22" customHeight="1" s="28">
      <c r="A14" s="72" t="inlineStr">
        <is>
          <t>WHAT USUALLY BREAKS FIRST</t>
        </is>
      </c>
      <c r="B14" s="33" t="n"/>
    </row>
    <row r="15" ht="30" customHeight="1" s="28">
      <c r="A15" s="73" t="inlineStr">
        <is>
          <t>- Liquidity: ending cash drops below the minimum cash buffer or the funding gap turns positive.</t>
        </is>
      </c>
      <c r="B15" s="202" t="n"/>
      <c r="C15" s="202" t="n"/>
      <c r="D15" s="202" t="n"/>
      <c r="E15" s="202" t="n"/>
      <c r="F15" s="202" t="n"/>
      <c r="G15" s="202" t="n"/>
      <c r="H15" s="66" t="n"/>
    </row>
    <row r="16" ht="30" customHeight="1" s="28">
      <c r="A16" s="73" t="inlineStr">
        <is>
          <t>- Solvency: net debt / EBITDA breaches the threshold, EBIT / interest falls below the threshold, or equity turns negative.</t>
        </is>
      </c>
      <c r="B16" s="202" t="n"/>
      <c r="C16" s="202" t="n"/>
      <c r="D16" s="202" t="n"/>
      <c r="E16" s="202" t="n"/>
      <c r="F16" s="202" t="n"/>
      <c r="G16" s="202" t="n"/>
      <c r="H16" s="66" t="n"/>
    </row>
    <row r="17" ht="30" customHeight="1" s="28">
      <c r="A17" s="73" t="inlineStr">
        <is>
          <t>- Cash conversion: DSO and DIO rise while DPO does not offset the pressure.</t>
        </is>
      </c>
      <c r="B17" s="202" t="n"/>
      <c r="C17" s="202" t="n"/>
      <c r="D17" s="202" t="n"/>
      <c r="E17" s="202" t="n"/>
      <c r="F17" s="202" t="n"/>
      <c r="G17" s="202" t="n"/>
      <c r="H17" s="66" t="n"/>
    </row>
    <row r="18" ht="30" customHeight="1" s="28">
      <c r="A18" s="73" t="inlineStr">
        <is>
          <t>- Management defense: capex, dividends, and buybacks can be cut, but sometimes the operating hit is still too large.</t>
        </is>
      </c>
      <c r="B18" s="202" t="n"/>
      <c r="C18" s="202" t="n"/>
      <c r="D18" s="202" t="n"/>
      <c r="E18" s="202" t="n"/>
      <c r="F18" s="202" t="n"/>
      <c r="G18" s="202" t="n"/>
      <c r="H18" s="66" t="n"/>
    </row>
  </sheetData>
  <mergeCells count="16">
    <mergeCell ref="A18:H18"/>
    <mergeCell ref="B8:H8"/>
    <mergeCell ref="B9:H9"/>
    <mergeCell ref="A15:H15"/>
    <mergeCell ref="B4:H4"/>
    <mergeCell ref="A16:H16"/>
    <mergeCell ref="B12:H12"/>
    <mergeCell ref="B6:H6"/>
    <mergeCell ref="A14:B14"/>
    <mergeCell ref="B10:H10"/>
    <mergeCell ref="A1:H1"/>
    <mergeCell ref="B11:H11"/>
    <mergeCell ref="B7:H7"/>
    <mergeCell ref="B5:H5"/>
    <mergeCell ref="A3:B3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84C"/>
    <outlinePr summaryBelow="1" summaryRight="1"/>
    <pageSetUpPr/>
  </sheetPr>
  <dimension ref="A1:E5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E1"/>
    </sheetView>
  </sheetViews>
  <sheetFormatPr baseColWidth="10" defaultColWidth="8.83203125" defaultRowHeight="15"/>
  <cols>
    <col width="35" customWidth="1" style="28" min="1" max="1"/>
    <col width="16" customWidth="1" style="28" min="2" max="4"/>
    <col width="16" customWidth="1" style="28" min="3" max="3"/>
    <col width="16" customWidth="1" style="28" min="4" max="4"/>
    <col width="30" customWidth="1" style="28" min="5" max="5"/>
  </cols>
  <sheetData>
    <row r="1" ht="30" customHeight="1" s="28">
      <c r="A1" s="74" t="inlineStr">
        <is>
          <t>HISTORICAL FINANCIALS — INPUT SHEET</t>
        </is>
      </c>
      <c r="B1" s="32" t="n"/>
      <c r="C1" s="32" t="n"/>
      <c r="D1" s="32" t="n"/>
      <c r="E1" s="33" t="n"/>
    </row>
    <row r="2" ht="18" customHeight="1" s="28">
      <c r="A2" s="75" t="inlineStr">
        <is>
          <t>Enter three historical years. Yellow = manual input. All values in consistent currency/units ($mm recommended).</t>
        </is>
      </c>
      <c r="B2" s="32" t="n"/>
      <c r="C2" s="32" t="n"/>
      <c r="D2" s="32" t="n"/>
      <c r="E2" s="33" t="n"/>
    </row>
    <row r="3" ht="22" customHeight="1" s="28">
      <c r="A3" s="76" t="inlineStr">
        <is>
          <t>Line Item</t>
        </is>
      </c>
      <c r="B3" s="161" t="n">
        <v>2023</v>
      </c>
      <c r="C3" s="161" t="n">
        <v>2024</v>
      </c>
      <c r="D3" s="161" t="n">
        <v>2025</v>
      </c>
      <c r="E3" s="161" t="inlineStr">
        <is>
          <t>Comment</t>
        </is>
      </c>
    </row>
    <row r="5" ht="20" customHeight="1" s="28">
      <c r="A5" s="77" t="inlineStr">
        <is>
          <t xml:space="preserve">  INCOME STATEMENT</t>
        </is>
      </c>
      <c r="B5" s="32" t="n"/>
      <c r="C5" s="32" t="n"/>
      <c r="D5" s="32" t="n"/>
      <c r="E5" s="33" t="n"/>
    </row>
    <row r="6" ht="18" customHeight="1" s="28">
      <c r="A6" s="78" t="inlineStr">
        <is>
          <t>Revenue</t>
        </is>
      </c>
      <c r="B6" s="79" t="n"/>
      <c r="C6" s="79" t="n"/>
      <c r="D6" s="79" t="n"/>
      <c r="E6" s="80" t="inlineStr">
        <is>
          <t>Top line / sales</t>
        </is>
      </c>
    </row>
    <row r="7" ht="18" customHeight="1" s="28">
      <c r="A7" s="78" t="inlineStr">
        <is>
          <t>COGS</t>
        </is>
      </c>
      <c r="B7" s="79" t="n"/>
      <c r="C7" s="79" t="n"/>
      <c r="D7" s="79" t="n"/>
      <c r="E7" s="80" t="inlineStr">
        <is>
          <t>Use positive value</t>
        </is>
      </c>
    </row>
    <row r="8" ht="18" customHeight="1" s="28">
      <c r="A8" s="49" t="inlineStr">
        <is>
          <t>Gross Profit</t>
        </is>
      </c>
      <c r="B8" s="81">
        <f>B6-B7</f>
        <v/>
      </c>
      <c r="C8" s="81">
        <f>C6-C7</f>
        <v/>
      </c>
      <c r="D8" s="81">
        <f>D6-D7</f>
        <v/>
      </c>
      <c r="E8" s="30" t="n"/>
    </row>
    <row r="9" ht="18" customHeight="1" s="28">
      <c r="A9" s="78" t="inlineStr">
        <is>
          <t>SG&amp;A</t>
        </is>
      </c>
      <c r="B9" s="79" t="n"/>
      <c r="C9" s="79" t="n"/>
      <c r="D9" s="79" t="n"/>
      <c r="E9" s="30" t="n"/>
    </row>
    <row r="10" ht="18" customHeight="1" s="28">
      <c r="A10" s="78" t="inlineStr">
        <is>
          <t>Other OpEx</t>
        </is>
      </c>
      <c r="B10" s="79" t="n"/>
      <c r="C10" s="79" t="n"/>
      <c r="D10" s="79" t="n"/>
      <c r="E10" s="30" t="n"/>
    </row>
    <row r="11" ht="18" customHeight="1" s="28">
      <c r="A11" s="49" t="inlineStr">
        <is>
          <t>EBITDA</t>
        </is>
      </c>
      <c r="B11" s="81">
        <f>B8-B9-B10</f>
        <v/>
      </c>
      <c r="C11" s="81">
        <f>C8-C9-C10</f>
        <v/>
      </c>
      <c r="D11" s="81">
        <f>D8-D9-D10</f>
        <v/>
      </c>
      <c r="E11" s="30" t="n"/>
    </row>
    <row r="12" ht="18" customHeight="1" s="28">
      <c r="A12" s="78" t="inlineStr">
        <is>
          <t>D&amp;A</t>
        </is>
      </c>
      <c r="B12" s="79" t="n"/>
      <c r="C12" s="79" t="n"/>
      <c r="D12" s="79" t="n"/>
      <c r="E12" s="80" t="inlineStr">
        <is>
          <t>Depreciation &amp; amortization</t>
        </is>
      </c>
    </row>
    <row r="13" ht="18" customHeight="1" s="28">
      <c r="A13" s="49" t="inlineStr">
        <is>
          <t>EBIT</t>
        </is>
      </c>
      <c r="B13" s="81">
        <f>B11-B12</f>
        <v/>
      </c>
      <c r="C13" s="81">
        <f>C11-C12</f>
        <v/>
      </c>
      <c r="D13" s="81">
        <f>D11-D12</f>
        <v/>
      </c>
      <c r="E13" s="30" t="n"/>
    </row>
    <row r="14" ht="18" customHeight="1" s="28">
      <c r="A14" s="78" t="inlineStr">
        <is>
          <t>Interest Expense</t>
        </is>
      </c>
      <c r="B14" s="79" t="n"/>
      <c r="C14" s="79" t="n"/>
      <c r="D14" s="79" t="n"/>
      <c r="E14" s="30" t="n"/>
    </row>
    <row r="15" ht="18" customHeight="1" s="28">
      <c r="A15" s="49" t="inlineStr">
        <is>
          <t>Pretax Income</t>
        </is>
      </c>
      <c r="B15" s="81">
        <f>B13-B14</f>
        <v/>
      </c>
      <c r="C15" s="81">
        <f>C13-C14</f>
        <v/>
      </c>
      <c r="D15" s="81">
        <f>D13-D14</f>
        <v/>
      </c>
      <c r="E15" s="30" t="n"/>
    </row>
    <row r="16" ht="18" customHeight="1" s="28">
      <c r="A16" s="78" t="inlineStr">
        <is>
          <t>Taxes</t>
        </is>
      </c>
      <c r="B16" s="79" t="n"/>
      <c r="C16" s="79" t="n"/>
      <c r="D16" s="79" t="n"/>
      <c r="E16" s="80" t="inlineStr">
        <is>
          <t>Use positive tax expense</t>
        </is>
      </c>
    </row>
    <row r="17" ht="18" customHeight="1" s="28">
      <c r="A17" s="49" t="inlineStr">
        <is>
          <t>Net Income</t>
        </is>
      </c>
      <c r="B17" s="81">
        <f>B15-B16</f>
        <v/>
      </c>
      <c r="C17" s="81">
        <f>C15-C16</f>
        <v/>
      </c>
      <c r="D17" s="81">
        <f>D15-D16</f>
        <v/>
      </c>
      <c r="E17" s="30" t="n"/>
    </row>
    <row r="19" ht="20" customHeight="1" s="28">
      <c r="A19" s="77" t="inlineStr">
        <is>
          <t xml:space="preserve">  BALANCE SHEET</t>
        </is>
      </c>
      <c r="B19" s="32" t="n"/>
      <c r="C19" s="32" t="n"/>
      <c r="D19" s="32" t="n"/>
      <c r="E19" s="33" t="n"/>
    </row>
    <row r="20" ht="18" customHeight="1" s="28">
      <c r="A20" s="78" t="inlineStr">
        <is>
          <t>Cash &amp; Equivalents</t>
        </is>
      </c>
      <c r="B20" s="79" t="n"/>
      <c r="C20" s="79" t="n"/>
      <c r="D20" s="79" t="n"/>
      <c r="E20" s="30" t="n"/>
    </row>
    <row r="21" ht="18" customHeight="1" s="28">
      <c r="A21" s="78" t="inlineStr">
        <is>
          <t>Accounts Receivable</t>
        </is>
      </c>
      <c r="B21" s="79" t="n"/>
      <c r="C21" s="79" t="n"/>
      <c r="D21" s="79" t="n"/>
      <c r="E21" s="30" t="n"/>
    </row>
    <row r="22" ht="18" customHeight="1" s="28">
      <c r="A22" s="78" t="inlineStr">
        <is>
          <t>Inventory</t>
        </is>
      </c>
      <c r="B22" s="79" t="n"/>
      <c r="C22" s="79" t="n"/>
      <c r="D22" s="79" t="n"/>
      <c r="E22" s="30" t="n"/>
    </row>
    <row r="23" ht="18" customHeight="1" s="28">
      <c r="A23" s="78" t="inlineStr">
        <is>
          <t>Other Current Assets</t>
        </is>
      </c>
      <c r="B23" s="79" t="n"/>
      <c r="C23" s="79" t="n"/>
      <c r="D23" s="79" t="n"/>
      <c r="E23" s="30" t="n"/>
    </row>
    <row r="24" ht="18" customHeight="1" s="28">
      <c r="A24" s="78" t="inlineStr">
        <is>
          <t>PP&amp;E, net</t>
        </is>
      </c>
      <c r="B24" s="79" t="n"/>
      <c r="C24" s="79" t="n"/>
      <c r="D24" s="79" t="n"/>
      <c r="E24" s="30" t="n"/>
    </row>
    <row r="25" ht="18" customHeight="1" s="28">
      <c r="A25" s="78" t="inlineStr">
        <is>
          <t>Intangibles &amp; Goodwill</t>
        </is>
      </c>
      <c r="B25" s="79" t="n"/>
      <c r="C25" s="79" t="n"/>
      <c r="D25" s="79" t="n"/>
      <c r="E25" s="30" t="n"/>
    </row>
    <row r="26" ht="18" customHeight="1" s="28">
      <c r="A26" s="78" t="inlineStr">
        <is>
          <t>Other Non-current Assets</t>
        </is>
      </c>
      <c r="B26" s="79" t="n"/>
      <c r="C26" s="79" t="n"/>
      <c r="D26" s="79" t="n"/>
      <c r="E26" s="30" t="n"/>
    </row>
    <row r="27" ht="18" customHeight="1" s="28">
      <c r="A27" s="78" t="inlineStr">
        <is>
          <t>Short-term Debt</t>
        </is>
      </c>
      <c r="B27" s="79" t="n"/>
      <c r="C27" s="79" t="n"/>
      <c r="D27" s="79" t="n"/>
      <c r="E27" s="30" t="n"/>
    </row>
    <row r="28" ht="18" customHeight="1" s="28">
      <c r="A28" s="78" t="inlineStr">
        <is>
          <t>Accounts Payable</t>
        </is>
      </c>
      <c r="B28" s="79" t="n"/>
      <c r="C28" s="79" t="n"/>
      <c r="D28" s="79" t="n"/>
      <c r="E28" s="30" t="n"/>
    </row>
    <row r="29" ht="18" customHeight="1" s="28">
      <c r="A29" s="78" t="inlineStr">
        <is>
          <t>Other Current Liabilities</t>
        </is>
      </c>
      <c r="B29" s="79" t="n"/>
      <c r="C29" s="79" t="n"/>
      <c r="D29" s="79" t="n"/>
      <c r="E29" s="30" t="n"/>
    </row>
    <row r="30" ht="18" customHeight="1" s="28">
      <c r="A30" s="78" t="inlineStr">
        <is>
          <t>Long-term Debt</t>
        </is>
      </c>
      <c r="B30" s="79" t="n"/>
      <c r="C30" s="79" t="n"/>
      <c r="D30" s="79" t="n"/>
      <c r="E30" s="30" t="n"/>
    </row>
    <row r="31" ht="18" customHeight="1" s="28">
      <c r="A31" s="78" t="inlineStr">
        <is>
          <t>Other Non-current Liabilities</t>
        </is>
      </c>
      <c r="B31" s="79" t="n"/>
      <c r="C31" s="79" t="n"/>
      <c r="D31" s="79" t="n"/>
      <c r="E31" s="30" t="n"/>
    </row>
    <row r="32" ht="18" customHeight="1" s="28">
      <c r="A32" s="78" t="inlineStr">
        <is>
          <t>Equity</t>
        </is>
      </c>
      <c r="B32" s="79" t="n"/>
      <c r="C32" s="79" t="n"/>
      <c r="D32" s="79" t="n"/>
      <c r="E32" s="30" t="n"/>
    </row>
    <row r="33" ht="18" customHeight="1" s="28">
      <c r="A33" s="82" t="inlineStr">
        <is>
          <t>Balance Check</t>
        </is>
      </c>
      <c r="B33" s="83">
        <f>(B20+B21+B22+B23+B24+B25+B26)-(B27+B28+B29+B30+B31+B32)</f>
        <v/>
      </c>
      <c r="C33" s="83">
        <f>(C20+C21+C22+C23+C24+C25+C26)-(C27+C28+C29+C30+C31+C32)</f>
        <v/>
      </c>
      <c r="D33" s="83">
        <f>(D20+D21+D22+D23+D24+D25+D26)-(D27+D28+D29+D30+D31+D32)</f>
        <v/>
      </c>
      <c r="E33" s="80" t="inlineStr">
        <is>
          <t>Should trend near zero</t>
        </is>
      </c>
    </row>
    <row r="35" ht="20" customHeight="1" s="28">
      <c r="A35" s="77" t="inlineStr">
        <is>
          <t xml:space="preserve">  CASH FLOW / CAPITAL ALLOCATION</t>
        </is>
      </c>
      <c r="B35" s="32" t="n"/>
      <c r="C35" s="32" t="n"/>
      <c r="D35" s="32" t="n"/>
      <c r="E35" s="33" t="n"/>
    </row>
    <row r="36" ht="18" customHeight="1" s="28">
      <c r="A36" s="78" t="inlineStr">
        <is>
          <t>Capex</t>
        </is>
      </c>
      <c r="B36" s="79" t="n"/>
      <c r="C36" s="79" t="n"/>
      <c r="D36" s="79" t="n"/>
      <c r="E36" s="80" t="inlineStr">
        <is>
          <t>Use positive cash outflow</t>
        </is>
      </c>
    </row>
    <row r="37" ht="18" customHeight="1" s="28">
      <c r="A37" s="78" t="inlineStr">
        <is>
          <t>Dividends</t>
        </is>
      </c>
      <c r="B37" s="79" t="n"/>
      <c r="C37" s="79" t="n"/>
      <c r="D37" s="79" t="n"/>
      <c r="E37" s="30" t="n"/>
    </row>
    <row r="38" ht="18" customHeight="1" s="28">
      <c r="A38" s="78" t="inlineStr">
        <is>
          <t>Buybacks</t>
        </is>
      </c>
      <c r="B38" s="79" t="n"/>
      <c r="C38" s="79" t="n"/>
      <c r="D38" s="79" t="n"/>
      <c r="E38" s="30" t="n"/>
    </row>
    <row r="39" ht="18" customHeight="1" s="28">
      <c r="A39" s="78" t="inlineStr">
        <is>
          <t>CFO (actual, optional)</t>
        </is>
      </c>
      <c r="B39" s="79" t="n"/>
      <c r="C39" s="79" t="n"/>
      <c r="D39" s="79" t="n"/>
      <c r="E39" s="80" t="inlineStr">
        <is>
          <t>Optional actual CFO for reference</t>
        </is>
      </c>
    </row>
    <row r="41" ht="20" customHeight="1" s="28">
      <c r="A41" s="43" t="inlineStr">
        <is>
          <t xml:space="preserve">  KEY RATIOS  (auto-calculated from above)</t>
        </is>
      </c>
    </row>
    <row r="42" ht="18" customHeight="1" s="28">
      <c r="A42" s="49" t="inlineStr">
        <is>
          <t>Gross Margin %</t>
        </is>
      </c>
      <c r="B42" s="84">
        <f>IFERROR((B6-B7)/B6,0)</f>
        <v/>
      </c>
      <c r="C42" s="84">
        <f>IFERROR((C6-C7)/C6,0)</f>
        <v/>
      </c>
      <c r="D42" s="84">
        <f>IFERROR((D6-D7)/D6,0)</f>
        <v/>
      </c>
      <c r="E42" s="85" t="n"/>
    </row>
    <row r="43" ht="18" customHeight="1" s="28">
      <c r="A43" s="49" t="inlineStr">
        <is>
          <t>EBITDA Margin %</t>
        </is>
      </c>
      <c r="B43" s="84">
        <f>IFERROR(B11/B6,0)</f>
        <v/>
      </c>
      <c r="C43" s="84">
        <f>IFERROR(C11/C6,0)</f>
        <v/>
      </c>
      <c r="D43" s="84">
        <f>IFERROR(D11/D6,0)</f>
        <v/>
      </c>
      <c r="E43" s="85" t="n"/>
    </row>
    <row r="44" ht="18" customHeight="1" s="28">
      <c r="A44" s="49" t="inlineStr">
        <is>
          <t>EBIT Margin %</t>
        </is>
      </c>
      <c r="B44" s="84">
        <f>IFERROR(B13/B6,0)</f>
        <v/>
      </c>
      <c r="C44" s="84">
        <f>IFERROR(C13/C6,0)</f>
        <v/>
      </c>
      <c r="D44" s="84">
        <f>IFERROR(D13/D6,0)</f>
        <v/>
      </c>
      <c r="E44" s="85" t="n"/>
    </row>
    <row r="45" ht="18" customHeight="1" s="28">
      <c r="A45" s="49" t="inlineStr">
        <is>
          <t>Net Margin %</t>
        </is>
      </c>
      <c r="B45" s="84">
        <f>IFERROR(B17/B6,0)</f>
        <v/>
      </c>
      <c r="C45" s="84">
        <f>IFERROR(C17/C6,0)</f>
        <v/>
      </c>
      <c r="D45" s="84">
        <f>IFERROR(D17/D6,0)</f>
        <v/>
      </c>
      <c r="E45" s="85" t="n"/>
    </row>
    <row r="46" ht="18" customHeight="1" s="28">
      <c r="A46" s="49" t="inlineStr">
        <is>
          <t>Revenue YoY %</t>
        </is>
      </c>
      <c r="B46" s="84" t="inlineStr">
        <is>
          <t>"-"</t>
        </is>
      </c>
      <c r="C46" s="84">
        <f>IFERROR(C6/B6-1,0)</f>
        <v/>
      </c>
      <c r="D46" s="84">
        <f>IFERROR(D6/C6-1,0)</f>
        <v/>
      </c>
      <c r="E46" s="85" t="n"/>
    </row>
    <row r="47" ht="18" customHeight="1" s="28">
      <c r="A47" s="49" t="inlineStr">
        <is>
          <t>EBITDA YoY %</t>
        </is>
      </c>
      <c r="B47" s="84" t="inlineStr">
        <is>
          <t>"-"</t>
        </is>
      </c>
      <c r="C47" s="84">
        <f>IFERROR(C11/B11-1,0)</f>
        <v/>
      </c>
      <c r="D47" s="84">
        <f>IFERROR(D11/C11-1,0)</f>
        <v/>
      </c>
      <c r="E47" s="85" t="n"/>
    </row>
    <row r="48" ht="18" customHeight="1" s="28">
      <c r="A48" s="49" t="inlineStr">
        <is>
          <t>Net Leverage</t>
        </is>
      </c>
      <c r="B48" s="58">
        <f>IFERROR((B27+B30-B20)/MAX(B11,0.01),0)</f>
        <v/>
      </c>
      <c r="C48" s="58">
        <f>IFERROR((C27+C30-C20)/MAX(C11,0.01),0)</f>
        <v/>
      </c>
      <c r="D48" s="58">
        <f>IFERROR((D27+D30-D20)/MAX(D11,0.01),0)</f>
        <v/>
      </c>
      <c r="E48" s="85" t="n"/>
    </row>
    <row r="49" ht="18" customHeight="1" s="28">
      <c r="A49" s="49" t="inlineStr">
        <is>
          <t>Interest Coverage</t>
        </is>
      </c>
      <c r="B49" s="58">
        <f>IFERROR(B13/MAX(B14,0.01),999)</f>
        <v/>
      </c>
      <c r="C49" s="58">
        <f>IFERROR(C13/MAX(C14,0.01),999)</f>
        <v/>
      </c>
      <c r="D49" s="58">
        <f>IFERROR(D13/MAX(D14,0.01),999)</f>
        <v/>
      </c>
      <c r="E49" s="85" t="n"/>
    </row>
    <row r="50" ht="18" customHeight="1" s="28">
      <c r="A50" s="49" t="inlineStr">
        <is>
          <t>DSO (days)</t>
        </is>
      </c>
      <c r="B50" s="86">
        <f>IFERROR(B21/B6*365,0)</f>
        <v/>
      </c>
      <c r="C50" s="86">
        <f>IFERROR(C21/C6*365,0)</f>
        <v/>
      </c>
      <c r="D50" s="86">
        <f>IFERROR(D21/D6*365,0)</f>
        <v/>
      </c>
      <c r="E50" s="85" t="n"/>
    </row>
    <row r="51" ht="18" customHeight="1" s="28">
      <c r="A51" s="49" t="inlineStr">
        <is>
          <t>DIO (days)</t>
        </is>
      </c>
      <c r="B51" s="86">
        <f>IFERROR(B22/B7*365,0)</f>
        <v/>
      </c>
      <c r="C51" s="86">
        <f>IFERROR(C22/C7*365,0)</f>
        <v/>
      </c>
      <c r="D51" s="86">
        <f>IFERROR(D22/D7*365,0)</f>
        <v/>
      </c>
      <c r="E51" s="85" t="n"/>
    </row>
    <row r="52" ht="18" customHeight="1" s="28">
      <c r="A52" s="49" t="inlineStr">
        <is>
          <t>DPO (days)</t>
        </is>
      </c>
      <c r="B52" s="86">
        <f>IFERROR(B28/B7*365,0)</f>
        <v/>
      </c>
      <c r="C52" s="86">
        <f>IFERROR(C28/C7*365,0)</f>
        <v/>
      </c>
      <c r="D52" s="86">
        <f>IFERROR(D28/D7*365,0)</f>
        <v/>
      </c>
      <c r="E52" s="85" t="n"/>
    </row>
    <row r="53" ht="18" customHeight="1" s="28">
      <c r="A53" s="49" t="inlineStr">
        <is>
          <t>FCF (CFO - Capex)</t>
        </is>
      </c>
      <c r="B53" s="50">
        <f>IFERROR(B39-B36,0)</f>
        <v/>
      </c>
      <c r="C53" s="50">
        <f>IFERROR(C39-C36,0)</f>
        <v/>
      </c>
      <c r="D53" s="50">
        <f>IFERROR(D39-D36,0)</f>
        <v/>
      </c>
      <c r="E53" s="85" t="n"/>
    </row>
    <row r="54" ht="18" customHeight="1" s="28">
      <c r="A54" s="49" t="inlineStr">
        <is>
          <t>Capex / Revenue %</t>
        </is>
      </c>
      <c r="B54" s="84">
        <f>IFERROR(B36/B6,0)</f>
        <v/>
      </c>
      <c r="C54" s="84">
        <f>IFERROR(C36/C6,0)</f>
        <v/>
      </c>
      <c r="D54" s="84">
        <f>IFERROR(D36/D6,0)</f>
        <v/>
      </c>
      <c r="E54" s="85" t="n"/>
    </row>
  </sheetData>
  <mergeCells count="6">
    <mergeCell ref="A35:E35"/>
    <mergeCell ref="A2:E2"/>
    <mergeCell ref="A41:E41"/>
    <mergeCell ref="A19:E19"/>
    <mergeCell ref="A1:E1"/>
    <mergeCell ref="A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D6D7E"/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:H1"/>
    </sheetView>
  </sheetViews>
  <sheetFormatPr baseColWidth="10" defaultColWidth="8.83203125" defaultRowHeight="15"/>
  <cols>
    <col width="22" customWidth="1" style="28" min="1" max="1"/>
    <col width="32" customWidth="1" style="28" min="2" max="2"/>
    <col width="28" customWidth="1" style="28" min="3" max="3"/>
    <col width="24" customWidth="1" style="28" min="4" max="8"/>
    <col width="28" customWidth="1" style="28" min="5" max="5"/>
    <col width="28" customWidth="1" style="28" min="6" max="6"/>
    <col width="28" customWidth="1" style="28" min="7" max="7"/>
    <col width="30" customWidth="1" style="28" min="8" max="8"/>
  </cols>
  <sheetData>
    <row r="1" ht="30" customHeight="1" s="28">
      <c r="A1" s="74" t="inlineStr">
        <is>
          <t>WHAT-IF SEQUENCE MAP  —  Cause → Effect Chains</t>
        </is>
      </c>
      <c r="B1" s="32" t="n"/>
      <c r="C1" s="32" t="n"/>
      <c r="D1" s="32" t="n"/>
      <c r="E1" s="32" t="n"/>
      <c r="F1" s="32" t="n"/>
      <c r="G1" s="32" t="n"/>
      <c r="H1" s="33" t="n"/>
    </row>
    <row r="2" ht="18" customHeight="1" s="28">
      <c r="A2" s="87" t="inlineStr">
        <is>
          <t>Sequence -&gt; driver inputs -&gt; outputs. Use this sheet to understand what each stress sequence is trying to break.</t>
        </is>
      </c>
      <c r="B2" s="32" t="n"/>
      <c r="C2" s="32" t="n"/>
      <c r="D2" s="32" t="n"/>
      <c r="E2" s="32" t="n"/>
      <c r="F2" s="32" t="n"/>
      <c r="G2" s="32" t="n"/>
      <c r="H2" s="33" t="n"/>
    </row>
    <row r="3" ht="28" customHeight="1" s="28">
      <c r="A3" s="88" t="inlineStr">
        <is>
          <t>Sequence</t>
        </is>
      </c>
      <c r="B3" s="88" t="inlineStr">
        <is>
          <t>Cause -&gt; Effect Chain</t>
        </is>
      </c>
      <c r="C3" s="88" t="inlineStr">
        <is>
          <t>Driver Inputs In Model</t>
        </is>
      </c>
      <c r="D3" s="88" t="inlineStr">
        <is>
          <t>Outputs To Watch</t>
        </is>
      </c>
      <c r="E3" s="88" t="inlineStr">
        <is>
          <t>Light</t>
        </is>
      </c>
      <c r="F3" s="88" t="inlineStr">
        <is>
          <t>Base</t>
        </is>
      </c>
      <c r="G3" s="88" t="inlineStr">
        <is>
          <t>Severe</t>
        </is>
      </c>
      <c r="H3" s="88" t="inlineStr">
        <is>
          <t>Notes</t>
        </is>
      </c>
    </row>
    <row r="4" ht="40" customHeight="1" s="28">
      <c r="A4" s="89" t="inlineStr">
        <is>
          <t>Custom / Blank</t>
        </is>
      </c>
      <c r="B4" s="90" t="inlineStr">
        <is>
          <t>Zero-shock starting point -&gt; override the drivers manually in Scenario_Setup.</t>
        </is>
      </c>
      <c r="C4" s="90" t="inlineStr">
        <is>
          <t>Any driver in Scenario_Setup.</t>
        </is>
      </c>
      <c r="D4" s="90" t="inlineStr">
        <is>
          <t>Use all model outputs as a free-form what-if.</t>
        </is>
      </c>
      <c r="E4" s="91" t="inlineStr">
        <is>
          <t>Zero shock; override any driver manually.</t>
        </is>
      </c>
      <c r="F4" s="92" t="inlineStr">
        <is>
          <t>Zero shock; override any driver manually.</t>
        </is>
      </c>
      <c r="G4" s="93" t="inlineStr">
        <is>
          <t>Zero shock; override any driver manually.</t>
        </is>
      </c>
      <c r="H4" s="90" t="inlineStr">
        <is>
          <t>Useful for screening your own thesis or management guidance downside.</t>
        </is>
      </c>
    </row>
    <row r="5" ht="40" customHeight="1" s="28">
      <c r="A5" s="89" t="inlineStr">
        <is>
          <t>Demand collapse (classic recession)</t>
        </is>
      </c>
      <c r="B5" s="94" t="inlineStr">
        <is>
          <t>Revenue falls -&gt; fixed costs stay sticky -&gt; EBITDA drops hard -&gt; leverage spikes -&gt; refinancing gets harder -&gt; liquidity stress builds.</t>
        </is>
      </c>
      <c r="C5" s="94" t="inlineStr">
        <is>
          <t>Revenue, gross margin, SG&amp;A flexibility, DSO/DIO/DPO, rates, debt rollover, payout cuts.</t>
        </is>
      </c>
      <c r="D5" s="94" t="inlineStr">
        <is>
          <t>EBITDA, CFO, ending cash, funding gap, net debt / EBITDA, EBIT / interest.</t>
        </is>
      </c>
      <c r="E5" s="91" t="inlineStr">
        <is>
          <t>Rev -10%; GM -150 bps; SG&amp;A -1%; WC DSO +5d / DIO +8d / DPO -2d; Rates +100 bps</t>
        </is>
      </c>
      <c r="F5" s="92" t="inlineStr">
        <is>
          <t>Rev -20%; GM -300 bps; SG&amp;A -2%; WC DSO +10d / DIO +15d / DPO -3d; Rates +200 bps</t>
        </is>
      </c>
      <c r="G5" s="93" t="inlineStr">
        <is>
          <t>Rev -30%; GM -500 bps; SG&amp;A -3%; WC DSO +15d / DIO +20d / DPO -5d; Rates +300 bps</t>
        </is>
      </c>
      <c r="H5" s="94" t="inlineStr">
        <is>
          <t>Closest standard template for a GM 2008-style demand shock.</t>
        </is>
      </c>
    </row>
    <row r="6" ht="40" customHeight="1" s="28">
      <c r="A6" s="89" t="inlineStr">
        <is>
          <t>Mild demand shock + operating leverage</t>
        </is>
      </c>
      <c r="B6" s="90" t="inlineStr">
        <is>
          <t>Revenue dips -&gt; fixed cost absorption weakens -&gt; margins compress -&gt; leverage rises -&gt; rating and funding cost worsen.</t>
        </is>
      </c>
      <c r="C6" s="90" t="inlineStr">
        <is>
          <t>Revenue, gross margin, SG&amp;A flexibility, rates, payout defense.</t>
        </is>
      </c>
      <c r="D6" s="90" t="inlineStr">
        <is>
          <t>EBITDA margin, net debt / EBITDA, interest coverage, equity value pressure proxies.</t>
        </is>
      </c>
      <c r="E6" s="91" t="inlineStr">
        <is>
          <t>Rev -5%; GM -100 bps; WC DSO +2d / DIO +3d / DPO +0d; Rates +50 bps; Capex -5%</t>
        </is>
      </c>
      <c r="F6" s="92" t="inlineStr">
        <is>
          <t>Rev -10%; GM -300 bps; WC DSO +4d / DIO +5d / DPO -1d; Rates +100 bps; Capex -10%</t>
        </is>
      </c>
      <c r="G6" s="93" t="inlineStr">
        <is>
          <t>Rev -15%; GM -450 bps; SG&amp;A -1%; WC DSO +6d / DIO +8d / DPO -2d; Rates +150 bps</t>
        </is>
      </c>
      <c r="H6" s="90" t="inlineStr">
        <is>
          <t>Useful for asking what combination of smaller changes breaks the company.</t>
        </is>
      </c>
    </row>
    <row r="7" ht="40" customHeight="1" s="28">
      <c r="A7" s="89" t="inlineStr">
        <is>
          <t>Price pressure + volume decline</t>
        </is>
      </c>
      <c r="B7" s="94" t="inlineStr">
        <is>
          <t>Volume falls and prices weaken -&gt; revenue drops -&gt; gross margin shrinks -&gt; FCF turns negative -&gt; debt burden rises.</t>
        </is>
      </c>
      <c r="C7" s="94" t="inlineStr">
        <is>
          <t>Revenue, gross margin, DSO/DIO/DPO, rates, rollover terms.</t>
        </is>
      </c>
      <c r="D7" s="94" t="inlineStr">
        <is>
          <t>Revenue, EBITDA, CFO, debt build, refinancing risk.</t>
        </is>
      </c>
      <c r="E7" s="91" t="inlineStr">
        <is>
          <t>Rev -10%; GM -150 bps; SG&amp;A -1%; WC DSO +3d / DIO +5d / DPO -1d; Rates +75 bps</t>
        </is>
      </c>
      <c r="F7" s="92" t="inlineStr">
        <is>
          <t>Rev -20%; GM -250 bps; SG&amp;A -2%; WC DSO +5d / DIO +10d / DPO -2d; Rates +125 bps</t>
        </is>
      </c>
      <c r="G7" s="93" t="inlineStr">
        <is>
          <t>Rev -25%; GM -400 bps; SG&amp;A -2%; WC DSO +8d / DIO +15d / DPO -4d; Rates +200 bps</t>
        </is>
      </c>
      <c r="H7" s="94" t="inlineStr">
        <is>
          <t>Good for commoditized sectors with weak pricing power.</t>
        </is>
      </c>
    </row>
    <row r="8" ht="40" customHeight="1" s="28">
      <c r="A8" s="89" t="inlineStr">
        <is>
          <t>Customer concentration risk</t>
        </is>
      </c>
      <c r="B8" s="90" t="inlineStr">
        <is>
          <t>Top customer is lost -&gt; revenue gap opens immediately -&gt; cost base stays in place -&gt; liquidity tightens -&gt; forced actions follow.</t>
        </is>
      </c>
      <c r="C8" s="90" t="inlineStr">
        <is>
          <t>Revenue, SG&amp;A stickiness, DSO/DIO unwind, rates, debt rollover.</t>
        </is>
      </c>
      <c r="D8" s="90" t="inlineStr">
        <is>
          <t>Revenue gap, EBITDA collapse, cash drain, funding gap, asset-sale pressure.</t>
        </is>
      </c>
      <c r="E8" s="91" t="inlineStr">
        <is>
          <t>Rev -10%; GM -100 bps; WC DSO +4d / DIO +5d / DPO -1d; Rates +75 bps; Capex -10%</t>
        </is>
      </c>
      <c r="F8" s="92" t="inlineStr">
        <is>
          <t>Rev -20%; GM -200 bps; WC DSO +8d / DIO +10d / DPO -3d; Rates +150 bps; Capex -20%</t>
        </is>
      </c>
      <c r="G8" s="93" t="inlineStr">
        <is>
          <t>Rev -30%; GM -300 bps; SG&amp;A -1%; WC DSO +12d / DIO +15d / DPO -5d; Rates +250 bps</t>
        </is>
      </c>
      <c r="H8" s="90" t="inlineStr">
        <is>
          <t>Best paired with a realistic minimum cash buffer in Scenario_Setup.</t>
        </is>
      </c>
    </row>
    <row r="9" ht="40" customHeight="1" s="28">
      <c r="A9" s="89" t="inlineStr">
        <is>
          <t>Input cost inflation shock</t>
        </is>
      </c>
      <c r="B9" s="94" t="inlineStr">
        <is>
          <t>COGS rises -&gt; pricing lags -&gt; gross margin falls -&gt; interest coverage tightens -&gt; covenant headroom disappears.</t>
        </is>
      </c>
      <c r="C9" s="94" t="inlineStr">
        <is>
          <t>Gross margin, other OpEx, inventory days, rates, payout defense.</t>
        </is>
      </c>
      <c r="D9" s="94" t="inlineStr">
        <is>
          <t>Gross profit, EBITDA, coverage ratio, covenant headroom proxies.</t>
        </is>
      </c>
      <c r="E9" s="91" t="inlineStr">
        <is>
          <t>GM -250 bps; OpEx +1%; WC DSO +0d / DIO +5d / DPO +1d; Rates +50 bps; Capex -5%</t>
        </is>
      </c>
      <c r="F9" s="92" t="inlineStr">
        <is>
          <t>Rev -2%; GM -400 bps; OpEx +2%; WC DSO +0d / DIO +10d / DPO +2d; Rates +100 bps</t>
        </is>
      </c>
      <c r="G9" s="93" t="inlineStr">
        <is>
          <t>Rev -5%; GM -600 bps; OpEx +3%; WC DSO +0d / DIO +15d / DPO +3d; Rates +150 bps</t>
        </is>
      </c>
      <c r="H9" s="94" t="inlineStr">
        <is>
          <t>Useful for importers, processors, and industries with delayed pricing pass-through.</t>
        </is>
      </c>
    </row>
    <row r="10" ht="40" customHeight="1" s="28">
      <c r="A10" s="89" t="inlineStr">
        <is>
          <t>Wage inflation + sticky pricing</t>
        </is>
      </c>
      <c r="B10" s="90" t="inlineStr">
        <is>
          <t>Labor costs rise while pricing stays flat -&gt; EBITDA margin compresses -&gt; FCF falls -&gt; management slows hiring and growth.</t>
        </is>
      </c>
      <c r="C10" s="90" t="inlineStr">
        <is>
          <t>SG&amp;A inflation, other OpEx, capex response, payout cuts.</t>
        </is>
      </c>
      <c r="D10" s="90" t="inlineStr">
        <is>
          <t>EBITDA margin, FCF, growth capacity, medium-term earnings power.</t>
        </is>
      </c>
      <c r="E10" s="91" t="inlineStr">
        <is>
          <t>SG&amp;A +3%; OpEx +1%; Rates +25 bps; Capex -5%</t>
        </is>
      </c>
      <c r="F10" s="92" t="inlineStr">
        <is>
          <t>SG&amp;A +6%; OpEx +2%; Rates +50 bps; Capex -10%; Roll ST 100% / LT 98%</t>
        </is>
      </c>
      <c r="G10" s="93" t="inlineStr">
        <is>
          <t>Rev -3%; GM -50 bps; SG&amp;A +9%; OpEx +3%; Rates +75 bps</t>
        </is>
      </c>
      <c r="H10" s="90" t="inlineStr">
        <is>
          <t>Better for service-heavy companies where labor sits outside COGS.</t>
        </is>
      </c>
    </row>
    <row r="11" ht="40" customHeight="1" s="28">
      <c r="A11" s="89" t="inlineStr">
        <is>
          <t>Working capital trap</t>
        </is>
      </c>
      <c r="B11" s="94" t="inlineStr">
        <is>
          <t>Receivables and inventory rise faster than payables -&gt; cash gets locked in operations -&gt; revolver need rises -&gt; lenders gain leverage.</t>
        </is>
      </c>
      <c r="C11" s="94" t="inlineStr">
        <is>
          <t>DSO, DIO, DPO, rates, rollover assumptions.</t>
        </is>
      </c>
      <c r="D11" s="94" t="inlineStr">
        <is>
          <t>Modeled CFO, ending cash, funding gap, leverage.</t>
        </is>
      </c>
      <c r="E11" s="91" t="inlineStr">
        <is>
          <t>Rev -3%; GM -50 bps; WC DSO +10d / DIO +8d / DPO +0d; Rates +50 bps; Capex -5%</t>
        </is>
      </c>
      <c r="F11" s="92" t="inlineStr">
        <is>
          <t>Rev -5%; GM -100 bps; WC DSO +20d / DIO +15d / DPO -2d; Rates +100 bps; Capex -10%</t>
        </is>
      </c>
      <c r="G11" s="93" t="inlineStr">
        <is>
          <t>Rev -8%; GM -150 bps; WC DSO +30d / DIO +25d / DPO -5d; Rates +150 bps; Capex -20%</t>
        </is>
      </c>
      <c r="H11" s="94" t="inlineStr">
        <is>
          <t>One of the best practical screens for a fragile balance sheet.</t>
        </is>
      </c>
    </row>
    <row r="12" ht="40" customHeight="1" s="28">
      <c r="A12" s="89" t="inlineStr">
        <is>
          <t>Inventory overbuild + demand slowdown</t>
        </is>
      </c>
      <c r="B12" s="90" t="inlineStr">
        <is>
          <t>Inventory builds while demand softens -&gt; discounting starts -&gt; margins fall -&gt; write-down pressure and cash burn accelerate.</t>
        </is>
      </c>
      <c r="C12" s="90" t="inlineStr">
        <is>
          <t>Revenue, gross margin, DIO, DSO/DPO, other OpEx.</t>
        </is>
      </c>
      <c r="D12" s="90" t="inlineStr">
        <is>
          <t>Gross profit, CFO, ending cash, liquidity squeeze.</t>
        </is>
      </c>
      <c r="E12" s="91" t="inlineStr">
        <is>
          <t>Rev -5%; GM -150 bps; OpEx +1%; WC DSO +2d / DIO +20d / DPO -2d; Rates +75 bps</t>
        </is>
      </c>
      <c r="F12" s="92" t="inlineStr">
        <is>
          <t>Rev -10%; GM -250 bps; OpEx +2%; WC DSO +5d / DIO +35d / DPO -3d; Rates +125 bps</t>
        </is>
      </c>
      <c r="G12" s="93" t="inlineStr">
        <is>
          <t>Rev -15%; GM -350 bps; OpEx +3%; WC DSO +8d / DIO +50d / DPO -5d; Rates +200 bps</t>
        </is>
      </c>
      <c r="H12" s="90" t="inlineStr">
        <is>
          <t>Very useful for retailers, auto, industrial distributors, and cyclical manufacturers.</t>
        </is>
      </c>
    </row>
    <row r="13" ht="40" customHeight="1" s="28">
      <c r="A13" s="89" t="inlineStr">
        <is>
          <t>Capex overrun + weak returns</t>
        </is>
      </c>
      <c r="B13" s="94" t="inlineStr">
        <is>
          <t>Capex rises before returns show up -&gt; FCF goes negative -&gt; debt grows -&gt; ROIC and valuation compress.</t>
        </is>
      </c>
      <c r="C13" s="94" t="inlineStr">
        <is>
          <t>Capex increase, modest revenue drag, rates, impairment risk.</t>
        </is>
      </c>
      <c r="D13" s="94" t="inlineStr">
        <is>
          <t>FCF, ending debt, ending cash, equity dilution risk proxy.</t>
        </is>
      </c>
      <c r="E13" s="91" t="inlineStr">
        <is>
          <t>WC DSO +1d / DIO +3d / DPO +0d; Rates +50 bps; Capex +10%; Roll ST 100% / LT 98%</t>
        </is>
      </c>
      <c r="F13" s="92" t="inlineStr">
        <is>
          <t>Rev -2%; GM -50 bps; WC DSO +2d / DIO +5d / DPO +0d; Rates +100 bps; Capex +20%</t>
        </is>
      </c>
      <c r="G13" s="93" t="inlineStr">
        <is>
          <t>Rev -5%; GM -100 bps; WC DSO +5d / DIO +10d / DPO -1d; Rates +150 bps; Capex +30%</t>
        </is>
      </c>
      <c r="H13" s="94" t="inlineStr">
        <is>
          <t>Negative capex cut values mean capex goes up rather than down.</t>
        </is>
      </c>
    </row>
    <row r="14" ht="40" customHeight="1" s="28">
      <c r="A14" s="89" t="inlineStr">
        <is>
          <t>Refinancing shock</t>
        </is>
      </c>
      <c r="B14" s="90" t="inlineStr">
        <is>
          <t>Debt maturity wall meets tighter credit -&gt; interest cost jumps -&gt; coverage falls -&gt; distressed refinancing or dilution follows.</t>
        </is>
      </c>
      <c r="C14" s="90" t="inlineStr">
        <is>
          <t>Interest rate shock, ST/LT rollover, LT debt due, payout defense.</t>
        </is>
      </c>
      <c r="D14" s="90" t="inlineStr">
        <is>
          <t>Interest expense, coverage, ending cash, funding gap, distress risk.</t>
        </is>
      </c>
      <c r="E14" s="91" t="inlineStr">
        <is>
          <t>Rates +150 bps; Capex -10%; Roll ST 80% / LT 75%</t>
        </is>
      </c>
      <c r="F14" s="92" t="inlineStr">
        <is>
          <t>Rev -3%; GM -50 bps; WC DSO +2d / DIO +2d / DPO +0d; Rates +300 bps; Capex -25%</t>
        </is>
      </c>
      <c r="G14" s="93" t="inlineStr">
        <is>
          <t>Rev -8%; GM -100 bps; WC DSO +5d / DIO +5d / DPO -1d; Rates +500 bps; Capex -40%</t>
        </is>
      </c>
      <c r="H14" s="90" t="inlineStr">
        <is>
          <t>Set minimum cash buffer to the actual revolver cushion or covenant cash minimum.</t>
        </is>
      </c>
    </row>
    <row r="15" ht="40" customHeight="1" s="28">
      <c r="A15" s="89" t="inlineStr">
        <is>
          <t>Rising rates + high leverage</t>
        </is>
      </c>
      <c r="B15" s="94" t="inlineStr">
        <is>
          <t>Floating-rate debt reprices upward -&gt; interest burden grows -&gt; FCF falls -&gt; leverage rises -&gt; rating pressure increases.</t>
        </is>
      </c>
      <c r="C15" s="94" t="inlineStr">
        <is>
          <t>Interest rate shock, rollover assumptions, modest capex or payout response.</t>
        </is>
      </c>
      <c r="D15" s="94" t="inlineStr">
        <is>
          <t>Interest expense, EBIT / interest, net debt / EBITDA, equity downside.</t>
        </is>
      </c>
      <c r="E15" s="91" t="inlineStr">
        <is>
          <t>Rates +150 bps; Roll ST 100% / LT 98%</t>
        </is>
      </c>
      <c r="F15" s="92" t="inlineStr">
        <is>
          <t>Rates +250 bps; Capex -10%; Roll ST 98% / LT 90%</t>
        </is>
      </c>
      <c r="G15" s="93" t="inlineStr">
        <is>
          <t>Rev -3%; GM -50 bps; Rates +400 bps; Capex -20%; Roll ST 95% / LT 75%</t>
        </is>
      </c>
      <c r="H15" s="94" t="inlineStr">
        <is>
          <t>Best for companies that already start with elevated leverage.</t>
        </is>
      </c>
    </row>
    <row r="16" ht="40" customHeight="1" s="28">
      <c r="A16" s="89" t="inlineStr">
        <is>
          <t>FX shock (import-heavy company)</t>
        </is>
      </c>
      <c r="B16" s="90" t="inlineStr">
        <is>
          <t>Local currency weakens -&gt; import costs rise -&gt; margin shrinks -&gt; pricing lags -&gt; profitability deteriorates.</t>
        </is>
      </c>
      <c r="C16" s="90" t="inlineStr">
        <is>
          <t>Gross margin, inventory days, modest revenue drag, rates.</t>
        </is>
      </c>
      <c r="D16" s="90" t="inlineStr">
        <is>
          <t>Gross profit, EBITDA, cash conversion, coverage.</t>
        </is>
      </c>
      <c r="E16" s="91" t="inlineStr">
        <is>
          <t>GM -150 bps; WC DSO +0d / DIO +5d / DPO +1d; Rates +50 bps; Roll ST 100% / LT 98%</t>
        </is>
      </c>
      <c r="F16" s="92" t="inlineStr">
        <is>
          <t>Rev -3%; GM -250 bps; WC DSO +0d / DIO +10d / DPO +2d; Rates +100 bps; Capex -5%</t>
        </is>
      </c>
      <c r="G16" s="93" t="inlineStr">
        <is>
          <t>Rev -5%; GM -400 bps; WC DSO +0d / DIO +15d / DPO +3d; Rates +150 bps; Capex -10%</t>
        </is>
      </c>
      <c r="H16" s="90" t="inlineStr">
        <is>
          <t>Useful where raw materials or finished goods are sourced in hard currency.</t>
        </is>
      </c>
    </row>
    <row r="17" ht="40" customHeight="1" s="28">
      <c r="A17" s="89" t="inlineStr">
        <is>
          <t>FX shock (export-heavy company)</t>
        </is>
      </c>
      <c r="B17" s="94" t="inlineStr">
        <is>
          <t>Currency strengthens -&gt; export competitiveness falls -&gt; utilization weakens -&gt; revenue and margins drift lower.</t>
        </is>
      </c>
      <c r="C17" s="94" t="inlineStr">
        <is>
          <t>Revenue, gross margin, modest working-capital drag, payout defense.</t>
        </is>
      </c>
      <c r="D17" s="94" t="inlineStr">
        <is>
          <t>Revenue, EBITDA, cash generation, valuation compression proxies.</t>
        </is>
      </c>
      <c r="E17" s="91" t="inlineStr">
        <is>
          <t>Rev -5%; GM -100 bps; WC DSO +2d / DIO +2d / DPO +0d; Rates +50 bps; Capex -5%</t>
        </is>
      </c>
      <c r="F17" s="92" t="inlineStr">
        <is>
          <t>Rev -10%; GM -200 bps; WC DSO +4d / DIO +5d / DPO -1d; Rates +75 bps; Capex -10%</t>
        </is>
      </c>
      <c r="G17" s="93" t="inlineStr">
        <is>
          <t>Rev -15%; GM -300 bps; WC DSO +6d / DIO +10d / DPO -2d; Rates +100 bps; Capex -15%</t>
        </is>
      </c>
      <c r="H17" s="94" t="inlineStr">
        <is>
          <t>Helpful for exporters with high fixed manufacturing footprints.</t>
        </is>
      </c>
    </row>
    <row r="18" ht="40" customHeight="1" s="28">
      <c r="A18" s="89" t="inlineStr">
        <is>
          <t>Regulatory shock</t>
        </is>
      </c>
      <c r="B18" s="90" t="inlineStr">
        <is>
          <t>New regulation arrives -&gt; compliance cost and redesign spending rise -&gt; capex and opex increase -&gt; margins and growth slow.</t>
        </is>
      </c>
      <c r="C18" s="90" t="inlineStr">
        <is>
          <t>Other OpEx, capex increase, modest revenue/gross-margin drag, rates.</t>
        </is>
      </c>
      <c r="D18" s="90" t="inlineStr">
        <is>
          <t>EBITDA, FCF, project delay pressure, long-term cash drag.</t>
        </is>
      </c>
      <c r="E18" s="91" t="inlineStr">
        <is>
          <t>Rev -2%; GM -50 bps; OpEx +3%; WC DSO +1d / DIO +0d / DPO +0d; Rates +50 bps</t>
        </is>
      </c>
      <c r="F18" s="92" t="inlineStr">
        <is>
          <t>Rev -5%; GM -150 bps; OpEx +6%; WC DSO +2d / DIO +0d / DPO +0d; Rates +100 bps</t>
        </is>
      </c>
      <c r="G18" s="93" t="inlineStr">
        <is>
          <t>Rev -10%; GM -250 bps; OpEx +10%; WC DSO +5d / DIO +3d / DPO -1d; Rates +150 bps</t>
        </is>
      </c>
      <c r="H18" s="90" t="inlineStr">
        <is>
          <t>Negative capex cut values represent higher required compliance capex.</t>
        </is>
      </c>
    </row>
    <row r="19" ht="40" customHeight="1" s="28">
      <c r="A19" s="89" t="inlineStr">
        <is>
          <t>Litigation / fine event</t>
        </is>
      </c>
      <c r="B19" s="94" t="inlineStr">
        <is>
          <t>Large fine or settlement hits -&gt; cash falls -&gt; leverage rises -&gt; rating and refinancing pressure increase.</t>
        </is>
      </c>
      <c r="C19" s="94" t="inlineStr">
        <is>
          <t>One-off cash charge, rates, rollover assumptions, payout defense.</t>
        </is>
      </c>
      <c r="D19" s="94" t="inlineStr">
        <is>
          <t>Net income, CFO, ending cash, funding gap, refinancing flexibility.</t>
        </is>
      </c>
      <c r="E19" s="91" t="inlineStr">
        <is>
          <t>Rates +50 bps; Roll ST 100% / LT 98%; Cash charge 2% of revenue</t>
        </is>
      </c>
      <c r="F19" s="92" t="inlineStr">
        <is>
          <t>Rev -2%; Rates +100 bps; Capex -10%; Roll ST 95% / LT 90%; Cash charge 5% of revenue</t>
        </is>
      </c>
      <c r="G19" s="93" t="inlineStr">
        <is>
          <t>Rev -5%; GM -50 bps; Rates +150 bps; Capex -20%; Roll ST 90% / LT 75%</t>
        </is>
      </c>
      <c r="H19" s="94" t="inlineStr">
        <is>
          <t>The one-off cash charge is modeled as a percent of revenue for portability across companies.</t>
        </is>
      </c>
    </row>
    <row r="20" ht="40" customHeight="1" s="28">
      <c r="A20" s="89" t="inlineStr">
        <is>
          <t>Operational disruption</t>
        </is>
      </c>
      <c r="B20" s="90" t="inlineStr">
        <is>
          <t>Plant shutdown or supply disruption hits production -&gt; revenue falls while fixed costs stay -&gt; margin collapses -&gt; cash burn follows.</t>
        </is>
      </c>
      <c r="C20" s="90" t="inlineStr">
        <is>
          <t>Revenue, gross margin, other OpEx, DSO/DIO, one-off charge, rates.</t>
        </is>
      </c>
      <c r="D20" s="90" t="inlineStr">
        <is>
          <t>EBITDA, CFO, ending cash, short-term liquidity stress.</t>
        </is>
      </c>
      <c r="E20" s="91" t="inlineStr">
        <is>
          <t>Rev -8%; GM -150 bps; OpEx +1%; WC DSO +2d / DIO +5d / DPO +0d; Rates +75 bps</t>
        </is>
      </c>
      <c r="F20" s="92" t="inlineStr">
        <is>
          <t>Rev -15%; GM -300 bps; OpEx +3%; WC DSO +5d / DIO +10d / DPO -2d; Rates +150 bps</t>
        </is>
      </c>
      <c r="G20" s="93" t="inlineStr">
        <is>
          <t>Rev -25%; GM -500 bps; OpEx +5%; WC DSO +8d / DIO +15d / DPO -4d; Rates +200 bps</t>
        </is>
      </c>
      <c r="H20" s="90" t="inlineStr">
        <is>
          <t>Good for accidents, outages, or severe supply chain interruptions.</t>
        </is>
      </c>
    </row>
    <row r="21" ht="40" customHeight="1" s="28">
      <c r="A21" s="89" t="inlineStr">
        <is>
          <t>Supplier failure</t>
        </is>
      </c>
      <c r="B21" s="94" t="inlineStr">
        <is>
          <t>Key supplier fails -&gt; input shortage cuts production -&gt; urgent sourcing costs more -&gt; margins and cash generation weaken.</t>
        </is>
      </c>
      <c r="C21" s="94" t="inlineStr">
        <is>
          <t>Revenue, gross margin, other OpEx, DIO, DSO, rates.</t>
        </is>
      </c>
      <c r="D21" s="94" t="inlineStr">
        <is>
          <t>Revenue, EBITDA, working-capital strain, cash burn.</t>
        </is>
      </c>
      <c r="E21" s="91" t="inlineStr">
        <is>
          <t>Rev -5%; GM -100 bps; OpEx +1%; WC DSO +1d / DIO +5d / DPO +0d; Rates +50 bps</t>
        </is>
      </c>
      <c r="F21" s="92" t="inlineStr">
        <is>
          <t>Rev -10%; GM -200 bps; OpEx +2%; WC DSO +3d / DIO +10d / DPO -2d; Rates +100 bps</t>
        </is>
      </c>
      <c r="G21" s="93" t="inlineStr">
        <is>
          <t>Rev -20%; GM -350 bps; OpEx +4%; WC DSO +5d / DIO +20d / DPO -4d; Rates +150 bps</t>
        </is>
      </c>
      <c r="H21" s="94" t="inlineStr">
        <is>
          <t>Useful where single-source components matter.</t>
        </is>
      </c>
    </row>
    <row r="22" ht="40" customHeight="1" s="28">
      <c r="A22" s="89" t="inlineStr">
        <is>
          <t>Technology disruption</t>
        </is>
      </c>
      <c r="B22" s="90" t="inlineStr">
        <is>
          <t>New technology changes the market -&gt; pricing pressure rises -&gt; share is lost -&gt; earnings power erodes over time.</t>
        </is>
      </c>
      <c r="C22" s="90" t="inlineStr">
        <is>
          <t>Revenue, gross margin, SG&amp;A / OpEx investment, impairment risk.</t>
        </is>
      </c>
      <c r="D22" s="90" t="inlineStr">
        <is>
          <t>Revenue, EBITDA margin, long-run earnings decline, intangible write-down risk.</t>
        </is>
      </c>
      <c r="E22" s="91" t="inlineStr">
        <is>
          <t>Rev -5%; GM -100 bps; SG&amp;A +2%; OpEx +1%; Rates +50 bps</t>
        </is>
      </c>
      <c r="F22" s="92" t="inlineStr">
        <is>
          <t>Rev -10%; GM -200 bps; SG&amp;A +4%; OpEx +2%; Rates +100 bps</t>
        </is>
      </c>
      <c r="G22" s="93" t="inlineStr">
        <is>
          <t>Rev -20%; GM -350 bps; SG&amp;A +6%; OpEx +3%; WC DSO +2d / DIO +3d / DPO +0d</t>
        </is>
      </c>
      <c r="H22" s="90" t="inlineStr">
        <is>
          <t>Works well for mature incumbents facing a new platform or product substitute.</t>
        </is>
      </c>
    </row>
    <row r="23" ht="40" customHeight="1" s="28">
      <c r="A23" s="89" t="inlineStr">
        <is>
          <t>Acquisition gone wrong</t>
        </is>
      </c>
      <c r="B23" s="94" t="inlineStr">
        <is>
          <t>Debt-funded deal underdelivers -&gt; synergies fail -&gt; leverage stays high -&gt; goodwill gets impaired -&gt; refinancing risk rises.</t>
        </is>
      </c>
      <c r="C23" s="94" t="inlineStr">
        <is>
          <t>Gross margin, other OpEx, DSO/DIO, rates, rollover, goodwill impairment.</t>
        </is>
      </c>
      <c r="D23" s="94" t="inlineStr">
        <is>
          <t>EBITDA, net debt / EBITDA, ending equity, refinancing risk.</t>
        </is>
      </c>
      <c r="E23" s="91" t="inlineStr">
        <is>
          <t>GM -50 bps; OpEx +2%; WC DSO +2d / DIO +2d / DPO +0d; Rates +100 bps; Capex -5%</t>
        </is>
      </c>
      <c r="F23" s="92" t="inlineStr">
        <is>
          <t>Rev -5%; GM -100 bps; OpEx +4%; WC DSO +5d / DIO +5d / DPO -1d; Rates +150 bps</t>
        </is>
      </c>
      <c r="G23" s="93" t="inlineStr">
        <is>
          <t>Rev -10%; GM -200 bps; OpEx +6%; WC DSO +8d / DIO +8d / DPO -3d; Rates +250 bps</t>
        </is>
      </c>
      <c r="H23" s="94" t="inlineStr">
        <is>
          <t>For a real post-deal case, also update starting debt and goodwill in Hist_Financials.</t>
        </is>
      </c>
    </row>
    <row r="24" ht="40" customHeight="1" s="28">
      <c r="A24" s="89" t="inlineStr">
        <is>
          <t>Full death spiral</t>
        </is>
      </c>
      <c r="B24" s="90" t="inlineStr">
        <is>
          <t>Revenue falls -&gt; margin compresses -&gt; working capital drains cash -&gt; rates rise -&gt; refinancing gets expensive -&gt; liquidity is exhausted.</t>
        </is>
      </c>
      <c r="C24" s="90" t="inlineStr">
        <is>
          <t>Revenue, gross margin, DSO/DIO/DPO, rates, rollover, impairments, one-off charge, payout defense.</t>
        </is>
      </c>
      <c r="D24" s="90" t="inlineStr">
        <is>
          <t>Every distress output: EBITDA, CFO, ending cash, funding gap, leverage, coverage, negative equity risk.</t>
        </is>
      </c>
      <c r="E24" s="91" t="inlineStr">
        <is>
          <t>Rev -10%; GM -200 bps; SG&amp;A -1%; WC DSO +10d / DIO +10d / DPO -2d; Rates +200 bps</t>
        </is>
      </c>
      <c r="F24" s="92" t="inlineStr">
        <is>
          <t>Rev -20%; GM -400 bps; SG&amp;A -2%; WC DSO +20d / DIO +20d / DPO -5d; Rates +350 bps</t>
        </is>
      </c>
      <c r="G24" s="93" t="inlineStr">
        <is>
          <t>Rev -30%; GM -600 bps; SG&amp;A -3%; WC DSO +30d / DIO +30d / DPO -8d; Rates +500 bps</t>
        </is>
      </c>
      <c r="H24" s="90" t="inlineStr">
        <is>
          <t>Use this as a high-end failure mode rather than a base case.</t>
        </is>
      </c>
    </row>
    <row r="26" ht="28" customHeight="1" s="28">
      <c r="A26" s="95" t="inlineStr">
        <is>
          <t>Key insight</t>
        </is>
      </c>
      <c r="B26" s="33" t="n"/>
      <c r="C26" s="32" t="n"/>
      <c r="D26" s="32" t="n"/>
      <c r="E26" s="32" t="n"/>
      <c r="F26" s="32" t="n"/>
      <c r="G26" s="32" t="n"/>
      <c r="H26" s="33" t="n"/>
    </row>
  </sheetData>
  <mergeCells count="4">
    <mergeCell ref="A26:H26"/>
    <mergeCell ref="A2:H2"/>
    <mergeCell ref="B26:H26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D6D7E"/>
    <outlinePr summaryBelow="1" summaryRight="1"/>
    <pageSetUpPr/>
  </sheetPr>
  <dimension ref="A1:V90"/>
  <sheetViews>
    <sheetView showGridLines="0" workbookViewId="0">
      <pane ySplit="3" topLeftCell="A4" activePane="bottomLeft" state="frozen"/>
      <selection pane="bottomLeft" activeCell="A1" sqref="A1:V1"/>
    </sheetView>
  </sheetViews>
  <sheetFormatPr baseColWidth="10" defaultColWidth="8.83203125" defaultRowHeight="15"/>
  <cols>
    <col width="30" customWidth="1" style="28" min="1" max="1"/>
    <col width="10" customWidth="1" style="28" min="2" max="2"/>
    <col width="38" customWidth="1" style="28" min="3" max="3"/>
    <col width="40" customWidth="1" style="28" min="4" max="4"/>
    <col width="12" customWidth="1" style="28" min="5" max="5"/>
    <col width="12" customWidth="1" style="28" min="6" max="8"/>
    <col width="12" customWidth="1" style="28" min="7" max="7"/>
    <col width="12" customWidth="1" style="28" min="8" max="8"/>
    <col width="12" customWidth="1" style="28" min="9" max="11"/>
    <col width="12" customWidth="1" style="28" min="10" max="10"/>
    <col width="12" customWidth="1" style="28" min="11" max="11"/>
    <col width="12" customWidth="1" style="28" min="12" max="12"/>
    <col width="12" customWidth="1" style="28" min="13" max="13"/>
    <col width="12" customWidth="1" style="28" min="14" max="14"/>
    <col width="12" customWidth="1" style="28" min="15" max="15"/>
    <col width="12" customWidth="1" style="28" min="16" max="18"/>
    <col width="12" customWidth="1" style="28" min="17" max="17"/>
    <col width="12" customWidth="1" style="28" min="18" max="18"/>
    <col width="12" customWidth="1" style="28" min="19" max="19"/>
    <col width="12" customWidth="1" style="28" min="20" max="21"/>
    <col width="12" customWidth="1" style="28" min="21" max="21"/>
    <col width="12" customWidth="1" style="28" min="22" max="22"/>
  </cols>
  <sheetData>
    <row r="1" ht="30" customHeight="1" s="28">
      <c r="A1" s="96" t="inlineStr">
        <is>
          <t>SCENARIO LIBRARY  —  60 Pre-Calibrated Scenarios (20 × 3 Severities)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3" t="n"/>
    </row>
    <row r="2" ht="18" customHeight="1" s="28">
      <c r="A2" s="75" t="inlineStr">
        <is>
          <t>Each row is a ready-to-use sequence and severity combination. Scenario_Setup pulls from this table.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3" t="n"/>
    </row>
    <row r="3" ht="36" customHeight="1" s="28">
      <c r="A3" s="97" t="inlineStr">
        <is>
          <t>Sequence</t>
        </is>
      </c>
      <c r="B3" s="97" t="inlineStr">
        <is>
          <t>Severity</t>
        </is>
      </c>
      <c r="C3" s="97" t="inlineStr">
        <is>
          <t>Scenario Key</t>
        </is>
      </c>
      <c r="D3" s="97" t="inlineStr">
        <is>
          <t>Cause -&gt; Effect Chain</t>
        </is>
      </c>
      <c r="E3" s="97" t="inlineStr">
        <is>
          <t>Revenue Shock %</t>
        </is>
      </c>
      <c r="F3" s="97" t="inlineStr">
        <is>
          <t>Gross Margin Shock (bps)</t>
        </is>
      </c>
      <c r="G3" s="97" t="inlineStr">
        <is>
          <t>SG&amp;A Mgmt Action %</t>
        </is>
      </c>
      <c r="H3" s="97" t="inlineStr">
        <is>
          <t>Other OpEx Shock %</t>
        </is>
      </c>
      <c r="I3" s="97" t="inlineStr">
        <is>
          <t>DSO Change</t>
        </is>
      </c>
      <c r="J3" s="97" t="inlineStr">
        <is>
          <t>DIO Change</t>
        </is>
      </c>
      <c r="K3" s="97" t="inlineStr">
        <is>
          <t>DPO Change</t>
        </is>
      </c>
      <c r="L3" s="97" t="inlineStr">
        <is>
          <t>Interest Shock (bps)</t>
        </is>
      </c>
      <c r="M3" s="97" t="inlineStr">
        <is>
          <t>ST Debt Rollover %</t>
        </is>
      </c>
      <c r="N3" s="97" t="inlineStr">
        <is>
          <t>LT Debt Due %</t>
        </is>
      </c>
      <c r="O3" s="97" t="inlineStr">
        <is>
          <t>LT Debt Rollover %</t>
        </is>
      </c>
      <c r="P3" s="97" t="inlineStr">
        <is>
          <t>Capex Cut %</t>
        </is>
      </c>
      <c r="Q3" s="97" t="inlineStr">
        <is>
          <t>Dividend Cut %</t>
        </is>
      </c>
      <c r="R3" s="97" t="inlineStr">
        <is>
          <t>Buyback Cut %</t>
        </is>
      </c>
      <c r="S3" s="97" t="inlineStr">
        <is>
          <t>PP&amp;E Impairment %</t>
        </is>
      </c>
      <c r="T3" s="97" t="inlineStr">
        <is>
          <t>Intangible Impairment %</t>
        </is>
      </c>
      <c r="U3" s="97" t="inlineStr">
        <is>
          <t>One-off Cash Charge % Rev</t>
        </is>
      </c>
      <c r="V3" s="97" t="inlineStr">
        <is>
          <t>Tax Rate %</t>
        </is>
      </c>
    </row>
    <row r="4" ht="18" customHeight="1" s="28">
      <c r="A4" s="98" t="inlineStr">
        <is>
          <t>Custom / Blank</t>
        </is>
      </c>
      <c r="B4" s="98" t="inlineStr">
        <is>
          <t>Light</t>
        </is>
      </c>
      <c r="C4" s="98" t="inlineStr">
        <is>
          <t>Custom / Blank | Light</t>
        </is>
      </c>
      <c r="D4" s="91" t="inlineStr">
        <is>
          <t>Zero-shock starting point -&gt; override the drivers manually in Scenario_Setup.</t>
        </is>
      </c>
      <c r="E4" s="99" t="n">
        <v>0</v>
      </c>
      <c r="F4" s="100" t="n">
        <v>0</v>
      </c>
      <c r="G4" s="99" t="n">
        <v>0</v>
      </c>
      <c r="H4" s="99" t="n">
        <v>0</v>
      </c>
      <c r="I4" s="100" t="n">
        <v>0</v>
      </c>
      <c r="J4" s="100" t="n">
        <v>0</v>
      </c>
      <c r="K4" s="100" t="n">
        <v>0</v>
      </c>
      <c r="L4" s="100" t="n">
        <v>0</v>
      </c>
      <c r="M4" s="99" t="n">
        <v>1</v>
      </c>
      <c r="N4" s="99" t="n">
        <v>0.08</v>
      </c>
      <c r="O4" s="99" t="n">
        <v>1</v>
      </c>
      <c r="P4" s="99" t="n">
        <v>0</v>
      </c>
      <c r="Q4" s="99" t="n">
        <v>0</v>
      </c>
      <c r="R4" s="99" t="n">
        <v>0</v>
      </c>
      <c r="S4" s="99" t="n">
        <v>0</v>
      </c>
      <c r="T4" s="99" t="n">
        <v>0</v>
      </c>
      <c r="U4" s="99" t="n">
        <v>0</v>
      </c>
      <c r="V4" s="99" t="n">
        <v>0.25</v>
      </c>
    </row>
    <row r="5" ht="18" customHeight="1" s="28">
      <c r="A5" s="101" t="inlineStr">
        <is>
          <t>Custom / Blank</t>
        </is>
      </c>
      <c r="B5" s="101" t="inlineStr">
        <is>
          <t>Base</t>
        </is>
      </c>
      <c r="C5" s="101" t="inlineStr">
        <is>
          <t>Custom / Blank | Base</t>
        </is>
      </c>
      <c r="D5" s="92" t="inlineStr">
        <is>
          <t>Zero-shock starting point -&gt; override the drivers manually in Scenario_Setup.</t>
        </is>
      </c>
      <c r="E5" s="102" t="n">
        <v>0</v>
      </c>
      <c r="F5" s="103" t="n">
        <v>0</v>
      </c>
      <c r="G5" s="102" t="n">
        <v>0</v>
      </c>
      <c r="H5" s="102" t="n">
        <v>0</v>
      </c>
      <c r="I5" s="103" t="n">
        <v>0</v>
      </c>
      <c r="J5" s="103" t="n">
        <v>0</v>
      </c>
      <c r="K5" s="103" t="n">
        <v>0</v>
      </c>
      <c r="L5" s="103" t="n">
        <v>0</v>
      </c>
      <c r="M5" s="102" t="n">
        <v>1</v>
      </c>
      <c r="N5" s="102" t="n">
        <v>0.08</v>
      </c>
      <c r="O5" s="102" t="n">
        <v>1</v>
      </c>
      <c r="P5" s="102" t="n">
        <v>0</v>
      </c>
      <c r="Q5" s="102" t="n">
        <v>0</v>
      </c>
      <c r="R5" s="102" t="n">
        <v>0</v>
      </c>
      <c r="S5" s="102" t="n">
        <v>0</v>
      </c>
      <c r="T5" s="102" t="n">
        <v>0</v>
      </c>
      <c r="U5" s="102" t="n">
        <v>0</v>
      </c>
      <c r="V5" s="102" t="n">
        <v>0.25</v>
      </c>
    </row>
    <row r="6" ht="18" customHeight="1" s="28">
      <c r="A6" s="104" t="inlineStr">
        <is>
          <t>Custom / Blank</t>
        </is>
      </c>
      <c r="B6" s="104" t="inlineStr">
        <is>
          <t>Severe</t>
        </is>
      </c>
      <c r="C6" s="104" t="inlineStr">
        <is>
          <t>Custom / Blank | Severe</t>
        </is>
      </c>
      <c r="D6" s="93" t="inlineStr">
        <is>
          <t>Zero-shock starting point -&gt; override the drivers manually in Scenario_Setup.</t>
        </is>
      </c>
      <c r="E6" s="105" t="n">
        <v>0</v>
      </c>
      <c r="F6" s="106" t="n">
        <v>0</v>
      </c>
      <c r="G6" s="105" t="n">
        <v>0</v>
      </c>
      <c r="H6" s="105" t="n">
        <v>0</v>
      </c>
      <c r="I6" s="106" t="n">
        <v>0</v>
      </c>
      <c r="J6" s="106" t="n">
        <v>0</v>
      </c>
      <c r="K6" s="106" t="n">
        <v>0</v>
      </c>
      <c r="L6" s="106" t="n">
        <v>0</v>
      </c>
      <c r="M6" s="105" t="n">
        <v>1</v>
      </c>
      <c r="N6" s="105" t="n">
        <v>0.08</v>
      </c>
      <c r="O6" s="105" t="n">
        <v>1</v>
      </c>
      <c r="P6" s="105" t="n">
        <v>0</v>
      </c>
      <c r="Q6" s="105" t="n">
        <v>0</v>
      </c>
      <c r="R6" s="105" t="n">
        <v>0</v>
      </c>
      <c r="S6" s="105" t="n">
        <v>0</v>
      </c>
      <c r="T6" s="105" t="n">
        <v>0</v>
      </c>
      <c r="U6" s="105" t="n">
        <v>0</v>
      </c>
      <c r="V6" s="105" t="n">
        <v>0.25</v>
      </c>
    </row>
    <row r="7" ht="18" customHeight="1" s="28">
      <c r="A7" s="98" t="inlineStr">
        <is>
          <t>Demand collapse (classic recession)</t>
        </is>
      </c>
      <c r="B7" s="98" t="inlineStr">
        <is>
          <t>Light</t>
        </is>
      </c>
      <c r="C7" s="98" t="inlineStr">
        <is>
          <t>Demand collapse (classic recession) | Light</t>
        </is>
      </c>
      <c r="D7" s="91" t="inlineStr">
        <is>
          <t>Revenue falls -&gt; fixed costs stay sticky -&gt; EBITDA drops hard -&gt; leverage spikes -&gt; refinancing gets harder -&gt; liquidity stress builds.</t>
        </is>
      </c>
      <c r="E7" s="99" t="n">
        <v>-0.1</v>
      </c>
      <c r="F7" s="100" t="n">
        <v>-150</v>
      </c>
      <c r="G7" s="99" t="n">
        <v>-0.01</v>
      </c>
      <c r="H7" s="99" t="n">
        <v>0</v>
      </c>
      <c r="I7" s="100" t="n">
        <v>5</v>
      </c>
      <c r="J7" s="100" t="n">
        <v>8</v>
      </c>
      <c r="K7" s="100" t="n">
        <v>-2</v>
      </c>
      <c r="L7" s="100" t="n">
        <v>100</v>
      </c>
      <c r="M7" s="99" t="n">
        <v>0.98</v>
      </c>
      <c r="N7" s="99" t="n">
        <v>0.08</v>
      </c>
      <c r="O7" s="99" t="n">
        <v>0.95</v>
      </c>
      <c r="P7" s="99" t="n">
        <v>0.1</v>
      </c>
      <c r="Q7" s="99" t="n">
        <v>0</v>
      </c>
      <c r="R7" s="99" t="n">
        <v>0.5</v>
      </c>
      <c r="S7" s="99" t="n">
        <v>0</v>
      </c>
      <c r="T7" s="99" t="n">
        <v>0</v>
      </c>
      <c r="U7" s="99" t="n">
        <v>0</v>
      </c>
      <c r="V7" s="99" t="n">
        <v>0.22</v>
      </c>
    </row>
    <row r="8" ht="18" customHeight="1" s="28">
      <c r="A8" s="101" t="inlineStr">
        <is>
          <t>Demand collapse (classic recession)</t>
        </is>
      </c>
      <c r="B8" s="101" t="inlineStr">
        <is>
          <t>Base</t>
        </is>
      </c>
      <c r="C8" s="101" t="inlineStr">
        <is>
          <t>Demand collapse (classic recession) | Base</t>
        </is>
      </c>
      <c r="D8" s="92" t="inlineStr">
        <is>
          <t>Revenue falls -&gt; fixed costs stay sticky -&gt; EBITDA drops hard -&gt; leverage spikes -&gt; refinancing gets harder -&gt; liquidity stress builds.</t>
        </is>
      </c>
      <c r="E8" s="102" t="n">
        <v>-0.2</v>
      </c>
      <c r="F8" s="103" t="n">
        <v>-300</v>
      </c>
      <c r="G8" s="102" t="n">
        <v>-0.02</v>
      </c>
      <c r="H8" s="102" t="n">
        <v>0</v>
      </c>
      <c r="I8" s="103" t="n">
        <v>10</v>
      </c>
      <c r="J8" s="103" t="n">
        <v>15</v>
      </c>
      <c r="K8" s="103" t="n">
        <v>-3</v>
      </c>
      <c r="L8" s="103" t="n">
        <v>200</v>
      </c>
      <c r="M8" s="102" t="n">
        <v>0.85</v>
      </c>
      <c r="N8" s="102" t="n">
        <v>0.1</v>
      </c>
      <c r="O8" s="102" t="n">
        <v>0.8</v>
      </c>
      <c r="P8" s="102" t="n">
        <v>0.25</v>
      </c>
      <c r="Q8" s="102" t="n">
        <v>0.5</v>
      </c>
      <c r="R8" s="102" t="n">
        <v>1</v>
      </c>
      <c r="S8" s="102" t="n">
        <v>0.02</v>
      </c>
      <c r="T8" s="102" t="n">
        <v>0.05</v>
      </c>
      <c r="U8" s="102" t="n">
        <v>0</v>
      </c>
      <c r="V8" s="102" t="n">
        <v>0.2</v>
      </c>
    </row>
    <row r="9" ht="18" customHeight="1" s="28">
      <c r="A9" s="104" t="inlineStr">
        <is>
          <t>Demand collapse (classic recession)</t>
        </is>
      </c>
      <c r="B9" s="104" t="inlineStr">
        <is>
          <t>Severe</t>
        </is>
      </c>
      <c r="C9" s="104" t="inlineStr">
        <is>
          <t>Demand collapse (classic recession) | Severe</t>
        </is>
      </c>
      <c r="D9" s="93" t="inlineStr">
        <is>
          <t>Revenue falls -&gt; fixed costs stay sticky -&gt; EBITDA drops hard -&gt; leverage spikes -&gt; refinancing gets harder -&gt; liquidity stress builds.</t>
        </is>
      </c>
      <c r="E9" s="105" t="n">
        <v>-0.3</v>
      </c>
      <c r="F9" s="106" t="n">
        <v>-500</v>
      </c>
      <c r="G9" s="105" t="n">
        <v>-0.03</v>
      </c>
      <c r="H9" s="105" t="n">
        <v>0</v>
      </c>
      <c r="I9" s="106" t="n">
        <v>15</v>
      </c>
      <c r="J9" s="106" t="n">
        <v>20</v>
      </c>
      <c r="K9" s="106" t="n">
        <v>-5</v>
      </c>
      <c r="L9" s="106" t="n">
        <v>300</v>
      </c>
      <c r="M9" s="105" t="n">
        <v>0.6</v>
      </c>
      <c r="N9" s="105" t="n">
        <v>0.15</v>
      </c>
      <c r="O9" s="105" t="n">
        <v>0.6</v>
      </c>
      <c r="P9" s="105" t="n">
        <v>0.4</v>
      </c>
      <c r="Q9" s="105" t="n">
        <v>1</v>
      </c>
      <c r="R9" s="105" t="n">
        <v>1</v>
      </c>
      <c r="S9" s="105" t="n">
        <v>0.05</v>
      </c>
      <c r="T9" s="105" t="n">
        <v>0.1</v>
      </c>
      <c r="U9" s="105" t="n">
        <v>0</v>
      </c>
      <c r="V9" s="105" t="n">
        <v>0.18</v>
      </c>
    </row>
    <row r="10" ht="18" customHeight="1" s="28">
      <c r="A10" s="98" t="inlineStr">
        <is>
          <t>Mild demand shock + operating leverage</t>
        </is>
      </c>
      <c r="B10" s="98" t="inlineStr">
        <is>
          <t>Light</t>
        </is>
      </c>
      <c r="C10" s="98" t="inlineStr">
        <is>
          <t>Mild demand shock + operating leverage | Light</t>
        </is>
      </c>
      <c r="D10" s="91" t="inlineStr">
        <is>
          <t>Revenue dips -&gt; fixed cost absorption weakens -&gt; margins compress -&gt; leverage rises -&gt; rating and funding cost worsen.</t>
        </is>
      </c>
      <c r="E10" s="99" t="n">
        <v>-0.05</v>
      </c>
      <c r="F10" s="100" t="n">
        <v>-100</v>
      </c>
      <c r="G10" s="99" t="n">
        <v>0</v>
      </c>
      <c r="H10" s="99" t="n">
        <v>0</v>
      </c>
      <c r="I10" s="100" t="n">
        <v>2</v>
      </c>
      <c r="J10" s="100" t="n">
        <v>3</v>
      </c>
      <c r="K10" s="100" t="n">
        <v>0</v>
      </c>
      <c r="L10" s="100" t="n">
        <v>50</v>
      </c>
      <c r="M10" s="99" t="n">
        <v>1</v>
      </c>
      <c r="N10" s="99" t="n">
        <v>0.08</v>
      </c>
      <c r="O10" s="99" t="n">
        <v>0.98</v>
      </c>
      <c r="P10" s="99" t="n">
        <v>0.05</v>
      </c>
      <c r="Q10" s="99" t="n">
        <v>0</v>
      </c>
      <c r="R10" s="99" t="n">
        <v>0</v>
      </c>
      <c r="S10" s="99" t="n">
        <v>0</v>
      </c>
      <c r="T10" s="99" t="n">
        <v>0</v>
      </c>
      <c r="U10" s="99" t="n">
        <v>0</v>
      </c>
      <c r="V10" s="99" t="n">
        <v>0.23</v>
      </c>
    </row>
    <row r="11" ht="18" customHeight="1" s="28">
      <c r="A11" s="101" t="inlineStr">
        <is>
          <t>Mild demand shock + operating leverage</t>
        </is>
      </c>
      <c r="B11" s="101" t="inlineStr">
        <is>
          <t>Base</t>
        </is>
      </c>
      <c r="C11" s="101" t="inlineStr">
        <is>
          <t>Mild demand shock + operating leverage | Base</t>
        </is>
      </c>
      <c r="D11" s="92" t="inlineStr">
        <is>
          <t>Revenue dips -&gt; fixed cost absorption weakens -&gt; margins compress -&gt; leverage rises -&gt; rating and funding cost worsen.</t>
        </is>
      </c>
      <c r="E11" s="102" t="n">
        <v>-0.1</v>
      </c>
      <c r="F11" s="103" t="n">
        <v>-300</v>
      </c>
      <c r="G11" s="102" t="n">
        <v>0</v>
      </c>
      <c r="H11" s="102" t="n">
        <v>0</v>
      </c>
      <c r="I11" s="103" t="n">
        <v>4</v>
      </c>
      <c r="J11" s="103" t="n">
        <v>5</v>
      </c>
      <c r="K11" s="103" t="n">
        <v>-1</v>
      </c>
      <c r="L11" s="103" t="n">
        <v>100</v>
      </c>
      <c r="M11" s="102" t="n">
        <v>0.98</v>
      </c>
      <c r="N11" s="102" t="n">
        <v>0.08</v>
      </c>
      <c r="O11" s="102" t="n">
        <v>0.95</v>
      </c>
      <c r="P11" s="102" t="n">
        <v>0.1</v>
      </c>
      <c r="Q11" s="102" t="n">
        <v>0.25</v>
      </c>
      <c r="R11" s="102" t="n">
        <v>0.75</v>
      </c>
      <c r="S11" s="102" t="n">
        <v>0</v>
      </c>
      <c r="T11" s="102" t="n">
        <v>0</v>
      </c>
      <c r="U11" s="102" t="n">
        <v>0</v>
      </c>
      <c r="V11" s="102" t="n">
        <v>0.22</v>
      </c>
    </row>
    <row r="12" ht="18" customHeight="1" s="28">
      <c r="A12" s="104" t="inlineStr">
        <is>
          <t>Mild demand shock + operating leverage</t>
        </is>
      </c>
      <c r="B12" s="104" t="inlineStr">
        <is>
          <t>Severe</t>
        </is>
      </c>
      <c r="C12" s="104" t="inlineStr">
        <is>
          <t>Mild demand shock + operating leverage | Severe</t>
        </is>
      </c>
      <c r="D12" s="93" t="inlineStr">
        <is>
          <t>Revenue dips -&gt; fixed cost absorption weakens -&gt; margins compress -&gt; leverage rises -&gt; rating and funding cost worsen.</t>
        </is>
      </c>
      <c r="E12" s="105" t="n">
        <v>-0.15</v>
      </c>
      <c r="F12" s="106" t="n">
        <v>-450</v>
      </c>
      <c r="G12" s="105" t="n">
        <v>-0.01</v>
      </c>
      <c r="H12" s="105" t="n">
        <v>0</v>
      </c>
      <c r="I12" s="106" t="n">
        <v>6</v>
      </c>
      <c r="J12" s="106" t="n">
        <v>8</v>
      </c>
      <c r="K12" s="106" t="n">
        <v>-2</v>
      </c>
      <c r="L12" s="106" t="n">
        <v>150</v>
      </c>
      <c r="M12" s="105" t="n">
        <v>0.95</v>
      </c>
      <c r="N12" s="105" t="n">
        <v>0.1</v>
      </c>
      <c r="O12" s="105" t="n">
        <v>0.9</v>
      </c>
      <c r="P12" s="105" t="n">
        <v>0.15</v>
      </c>
      <c r="Q12" s="105" t="n">
        <v>0.5</v>
      </c>
      <c r="R12" s="105" t="n">
        <v>1</v>
      </c>
      <c r="S12" s="105" t="n">
        <v>0</v>
      </c>
      <c r="T12" s="105" t="n">
        <v>0</v>
      </c>
      <c r="U12" s="105" t="n">
        <v>0</v>
      </c>
      <c r="V12" s="105" t="n">
        <v>0.2</v>
      </c>
    </row>
    <row r="13" ht="18" customHeight="1" s="28">
      <c r="A13" s="98" t="inlineStr">
        <is>
          <t>Price pressure + volume decline</t>
        </is>
      </c>
      <c r="B13" s="98" t="inlineStr">
        <is>
          <t>Light</t>
        </is>
      </c>
      <c r="C13" s="98" t="inlineStr">
        <is>
          <t>Price pressure + volume decline | Light</t>
        </is>
      </c>
      <c r="D13" s="91" t="inlineStr">
        <is>
          <t>Volume falls and prices weaken -&gt; revenue drops -&gt; gross margin shrinks -&gt; FCF turns negative -&gt; debt burden rises.</t>
        </is>
      </c>
      <c r="E13" s="99" t="n">
        <v>-0.1</v>
      </c>
      <c r="F13" s="100" t="n">
        <v>-150</v>
      </c>
      <c r="G13" s="99" t="n">
        <v>-0.01</v>
      </c>
      <c r="H13" s="99" t="n">
        <v>0</v>
      </c>
      <c r="I13" s="100" t="n">
        <v>3</v>
      </c>
      <c r="J13" s="100" t="n">
        <v>5</v>
      </c>
      <c r="K13" s="100" t="n">
        <v>-1</v>
      </c>
      <c r="L13" s="100" t="n">
        <v>75</v>
      </c>
      <c r="M13" s="99" t="n">
        <v>0.98</v>
      </c>
      <c r="N13" s="99" t="n">
        <v>0.08</v>
      </c>
      <c r="O13" s="99" t="n">
        <v>0.95</v>
      </c>
      <c r="P13" s="99" t="n">
        <v>0.05</v>
      </c>
      <c r="Q13" s="99" t="n">
        <v>0</v>
      </c>
      <c r="R13" s="99" t="n">
        <v>0</v>
      </c>
      <c r="S13" s="99" t="n">
        <v>0</v>
      </c>
      <c r="T13" s="99" t="n">
        <v>0</v>
      </c>
      <c r="U13" s="99" t="n">
        <v>0</v>
      </c>
      <c r="V13" s="99" t="n">
        <v>0.22</v>
      </c>
    </row>
    <row r="14" ht="18" customHeight="1" s="28">
      <c r="A14" s="101" t="inlineStr">
        <is>
          <t>Price pressure + volume decline</t>
        </is>
      </c>
      <c r="B14" s="101" t="inlineStr">
        <is>
          <t>Base</t>
        </is>
      </c>
      <c r="C14" s="101" t="inlineStr">
        <is>
          <t>Price pressure + volume decline | Base</t>
        </is>
      </c>
      <c r="D14" s="92" t="inlineStr">
        <is>
          <t>Volume falls and prices weaken -&gt; revenue drops -&gt; gross margin shrinks -&gt; FCF turns negative -&gt; debt burden rises.</t>
        </is>
      </c>
      <c r="E14" s="102" t="n">
        <v>-0.2</v>
      </c>
      <c r="F14" s="103" t="n">
        <v>-250</v>
      </c>
      <c r="G14" s="102" t="n">
        <v>-0.02</v>
      </c>
      <c r="H14" s="102" t="n">
        <v>0</v>
      </c>
      <c r="I14" s="103" t="n">
        <v>5</v>
      </c>
      <c r="J14" s="103" t="n">
        <v>10</v>
      </c>
      <c r="K14" s="103" t="n">
        <v>-2</v>
      </c>
      <c r="L14" s="103" t="n">
        <v>125</v>
      </c>
      <c r="M14" s="102" t="n">
        <v>0.95</v>
      </c>
      <c r="N14" s="102" t="n">
        <v>0.1</v>
      </c>
      <c r="O14" s="102" t="n">
        <v>0.9</v>
      </c>
      <c r="P14" s="102" t="n">
        <v>0.15</v>
      </c>
      <c r="Q14" s="102" t="n">
        <v>0.25</v>
      </c>
      <c r="R14" s="102" t="n">
        <v>0.75</v>
      </c>
      <c r="S14" s="102" t="n">
        <v>0</v>
      </c>
      <c r="T14" s="102" t="n">
        <v>0</v>
      </c>
      <c r="U14" s="102" t="n">
        <v>0</v>
      </c>
      <c r="V14" s="102" t="n">
        <v>0.21</v>
      </c>
    </row>
    <row r="15" ht="18" customHeight="1" s="28">
      <c r="A15" s="104" t="inlineStr">
        <is>
          <t>Price pressure + volume decline</t>
        </is>
      </c>
      <c r="B15" s="104" t="inlineStr">
        <is>
          <t>Severe</t>
        </is>
      </c>
      <c r="C15" s="104" t="inlineStr">
        <is>
          <t>Price pressure + volume decline | Severe</t>
        </is>
      </c>
      <c r="D15" s="93" t="inlineStr">
        <is>
          <t>Volume falls and prices weaken -&gt; revenue drops -&gt; gross margin shrinks -&gt; FCF turns negative -&gt; debt burden rises.</t>
        </is>
      </c>
      <c r="E15" s="105" t="n">
        <v>-0.25</v>
      </c>
      <c r="F15" s="106" t="n">
        <v>-400</v>
      </c>
      <c r="G15" s="105" t="n">
        <v>-0.02</v>
      </c>
      <c r="H15" s="105" t="n">
        <v>0</v>
      </c>
      <c r="I15" s="106" t="n">
        <v>8</v>
      </c>
      <c r="J15" s="106" t="n">
        <v>15</v>
      </c>
      <c r="K15" s="106" t="n">
        <v>-4</v>
      </c>
      <c r="L15" s="106" t="n">
        <v>200</v>
      </c>
      <c r="M15" s="105" t="n">
        <v>0.9</v>
      </c>
      <c r="N15" s="105" t="n">
        <v>0.12</v>
      </c>
      <c r="O15" s="105" t="n">
        <v>0.8</v>
      </c>
      <c r="P15" s="105" t="n">
        <v>0.25</v>
      </c>
      <c r="Q15" s="105" t="n">
        <v>0.5</v>
      </c>
      <c r="R15" s="105" t="n">
        <v>1</v>
      </c>
      <c r="S15" s="105" t="n">
        <v>0.02</v>
      </c>
      <c r="T15" s="105" t="n">
        <v>0</v>
      </c>
      <c r="U15" s="105" t="n">
        <v>0</v>
      </c>
      <c r="V15" s="105" t="n">
        <v>0.19</v>
      </c>
    </row>
    <row r="16" ht="18" customHeight="1" s="28">
      <c r="A16" s="98" t="inlineStr">
        <is>
          <t>Customer concentration risk</t>
        </is>
      </c>
      <c r="B16" s="98" t="inlineStr">
        <is>
          <t>Light</t>
        </is>
      </c>
      <c r="C16" s="98" t="inlineStr">
        <is>
          <t>Customer concentration risk | Light</t>
        </is>
      </c>
      <c r="D16" s="91" t="inlineStr">
        <is>
          <t>Top customer is lost -&gt; revenue gap opens immediately -&gt; cost base stays in place -&gt; liquidity tightens -&gt; forced actions follow.</t>
        </is>
      </c>
      <c r="E16" s="99" t="n">
        <v>-0.1</v>
      </c>
      <c r="F16" s="100" t="n">
        <v>-100</v>
      </c>
      <c r="G16" s="99" t="n">
        <v>0</v>
      </c>
      <c r="H16" s="99" t="n">
        <v>0</v>
      </c>
      <c r="I16" s="100" t="n">
        <v>4</v>
      </c>
      <c r="J16" s="100" t="n">
        <v>5</v>
      </c>
      <c r="K16" s="100" t="n">
        <v>-1</v>
      </c>
      <c r="L16" s="100" t="n">
        <v>75</v>
      </c>
      <c r="M16" s="99" t="n">
        <v>0.98</v>
      </c>
      <c r="N16" s="99" t="n">
        <v>0.08</v>
      </c>
      <c r="O16" s="99" t="n">
        <v>0.95</v>
      </c>
      <c r="P16" s="99" t="n">
        <v>0.1</v>
      </c>
      <c r="Q16" s="99" t="n">
        <v>0</v>
      </c>
      <c r="R16" s="99" t="n">
        <v>1</v>
      </c>
      <c r="S16" s="99" t="n">
        <v>0</v>
      </c>
      <c r="T16" s="99" t="n">
        <v>0</v>
      </c>
      <c r="U16" s="99" t="n">
        <v>0</v>
      </c>
      <c r="V16" s="99" t="n">
        <v>0.22</v>
      </c>
    </row>
    <row r="17" ht="18" customHeight="1" s="28">
      <c r="A17" s="101" t="inlineStr">
        <is>
          <t>Customer concentration risk</t>
        </is>
      </c>
      <c r="B17" s="101" t="inlineStr">
        <is>
          <t>Base</t>
        </is>
      </c>
      <c r="C17" s="101" t="inlineStr">
        <is>
          <t>Customer concentration risk | Base</t>
        </is>
      </c>
      <c r="D17" s="92" t="inlineStr">
        <is>
          <t>Top customer is lost -&gt; revenue gap opens immediately -&gt; cost base stays in place -&gt; liquidity tightens -&gt; forced actions follow.</t>
        </is>
      </c>
      <c r="E17" s="102" t="n">
        <v>-0.2</v>
      </c>
      <c r="F17" s="103" t="n">
        <v>-200</v>
      </c>
      <c r="G17" s="102" t="n">
        <v>0</v>
      </c>
      <c r="H17" s="102" t="n">
        <v>0</v>
      </c>
      <c r="I17" s="103" t="n">
        <v>8</v>
      </c>
      <c r="J17" s="103" t="n">
        <v>10</v>
      </c>
      <c r="K17" s="103" t="n">
        <v>-3</v>
      </c>
      <c r="L17" s="103" t="n">
        <v>150</v>
      </c>
      <c r="M17" s="102" t="n">
        <v>0.9</v>
      </c>
      <c r="N17" s="102" t="n">
        <v>0.1</v>
      </c>
      <c r="O17" s="102" t="n">
        <v>0.8</v>
      </c>
      <c r="P17" s="102" t="n">
        <v>0.2</v>
      </c>
      <c r="Q17" s="102" t="n">
        <v>0.5</v>
      </c>
      <c r="R17" s="102" t="n">
        <v>1</v>
      </c>
      <c r="S17" s="102" t="n">
        <v>0</v>
      </c>
      <c r="T17" s="102" t="n">
        <v>0.03</v>
      </c>
      <c r="U17" s="102" t="n">
        <v>0</v>
      </c>
      <c r="V17" s="102" t="n">
        <v>0.2</v>
      </c>
    </row>
    <row r="18" ht="18" customHeight="1" s="28">
      <c r="A18" s="104" t="inlineStr">
        <is>
          <t>Customer concentration risk</t>
        </is>
      </c>
      <c r="B18" s="104" t="inlineStr">
        <is>
          <t>Severe</t>
        </is>
      </c>
      <c r="C18" s="104" t="inlineStr">
        <is>
          <t>Customer concentration risk | Severe</t>
        </is>
      </c>
      <c r="D18" s="93" t="inlineStr">
        <is>
          <t>Top customer is lost -&gt; revenue gap opens immediately -&gt; cost base stays in place -&gt; liquidity tightens -&gt; forced actions follow.</t>
        </is>
      </c>
      <c r="E18" s="105" t="n">
        <v>-0.3</v>
      </c>
      <c r="F18" s="106" t="n">
        <v>-300</v>
      </c>
      <c r="G18" s="105" t="n">
        <v>-0.01</v>
      </c>
      <c r="H18" s="105" t="n">
        <v>0</v>
      </c>
      <c r="I18" s="106" t="n">
        <v>12</v>
      </c>
      <c r="J18" s="106" t="n">
        <v>15</v>
      </c>
      <c r="K18" s="106" t="n">
        <v>-5</v>
      </c>
      <c r="L18" s="106" t="n">
        <v>250</v>
      </c>
      <c r="M18" s="105" t="n">
        <v>0.75</v>
      </c>
      <c r="N18" s="105" t="n">
        <v>0.12</v>
      </c>
      <c r="O18" s="105" t="n">
        <v>0.65</v>
      </c>
      <c r="P18" s="105" t="n">
        <v>0.3</v>
      </c>
      <c r="Q18" s="105" t="n">
        <v>1</v>
      </c>
      <c r="R18" s="105" t="n">
        <v>1</v>
      </c>
      <c r="S18" s="105" t="n">
        <v>0.03</v>
      </c>
      <c r="T18" s="105" t="n">
        <v>0.08</v>
      </c>
      <c r="U18" s="105" t="n">
        <v>0</v>
      </c>
      <c r="V18" s="105" t="n">
        <v>0.18</v>
      </c>
    </row>
    <row r="19" ht="18" customHeight="1" s="28">
      <c r="A19" s="98" t="inlineStr">
        <is>
          <t>Input cost inflation shock</t>
        </is>
      </c>
      <c r="B19" s="98" t="inlineStr">
        <is>
          <t>Light</t>
        </is>
      </c>
      <c r="C19" s="98" t="inlineStr">
        <is>
          <t>Input cost inflation shock | Light</t>
        </is>
      </c>
      <c r="D19" s="91" t="inlineStr">
        <is>
          <t>COGS rises -&gt; pricing lags -&gt; gross margin falls -&gt; interest coverage tightens -&gt; covenant headroom disappears.</t>
        </is>
      </c>
      <c r="E19" s="99" t="n">
        <v>0</v>
      </c>
      <c r="F19" s="100" t="n">
        <v>-250</v>
      </c>
      <c r="G19" s="99" t="n">
        <v>0</v>
      </c>
      <c r="H19" s="99" t="n">
        <v>0.01</v>
      </c>
      <c r="I19" s="100" t="n">
        <v>0</v>
      </c>
      <c r="J19" s="100" t="n">
        <v>5</v>
      </c>
      <c r="K19" s="100" t="n">
        <v>1</v>
      </c>
      <c r="L19" s="100" t="n">
        <v>50</v>
      </c>
      <c r="M19" s="99" t="n">
        <v>1</v>
      </c>
      <c r="N19" s="99" t="n">
        <v>0.08</v>
      </c>
      <c r="O19" s="99" t="n">
        <v>0.98</v>
      </c>
      <c r="P19" s="99" t="n">
        <v>0.05</v>
      </c>
      <c r="Q19" s="99" t="n">
        <v>0</v>
      </c>
      <c r="R19" s="99" t="n">
        <v>0</v>
      </c>
      <c r="S19" s="99" t="n">
        <v>0</v>
      </c>
      <c r="T19" s="99" t="n">
        <v>0</v>
      </c>
      <c r="U19" s="99" t="n">
        <v>0</v>
      </c>
      <c r="V19" s="99" t="n">
        <v>0.24</v>
      </c>
    </row>
    <row r="20" ht="18" customHeight="1" s="28">
      <c r="A20" s="101" t="inlineStr">
        <is>
          <t>Input cost inflation shock</t>
        </is>
      </c>
      <c r="B20" s="101" t="inlineStr">
        <is>
          <t>Base</t>
        </is>
      </c>
      <c r="C20" s="101" t="inlineStr">
        <is>
          <t>Input cost inflation shock | Base</t>
        </is>
      </c>
      <c r="D20" s="92" t="inlineStr">
        <is>
          <t>COGS rises -&gt; pricing lags -&gt; gross margin falls -&gt; interest coverage tightens -&gt; covenant headroom disappears.</t>
        </is>
      </c>
      <c r="E20" s="102" t="n">
        <v>-0.02</v>
      </c>
      <c r="F20" s="103" t="n">
        <v>-400</v>
      </c>
      <c r="G20" s="102" t="n">
        <v>0</v>
      </c>
      <c r="H20" s="102" t="n">
        <v>0.02</v>
      </c>
      <c r="I20" s="103" t="n">
        <v>0</v>
      </c>
      <c r="J20" s="103" t="n">
        <v>10</v>
      </c>
      <c r="K20" s="103" t="n">
        <v>2</v>
      </c>
      <c r="L20" s="103" t="n">
        <v>100</v>
      </c>
      <c r="M20" s="102" t="n">
        <v>0.98</v>
      </c>
      <c r="N20" s="102" t="n">
        <v>0.08</v>
      </c>
      <c r="O20" s="102" t="n">
        <v>0.95</v>
      </c>
      <c r="P20" s="102" t="n">
        <v>0.1</v>
      </c>
      <c r="Q20" s="102" t="n">
        <v>0.25</v>
      </c>
      <c r="R20" s="102" t="n">
        <v>0.75</v>
      </c>
      <c r="S20" s="102" t="n">
        <v>0</v>
      </c>
      <c r="T20" s="102" t="n">
        <v>0</v>
      </c>
      <c r="U20" s="102" t="n">
        <v>0</v>
      </c>
      <c r="V20" s="102" t="n">
        <v>0.22</v>
      </c>
    </row>
    <row r="21" ht="18" customHeight="1" s="28">
      <c r="A21" s="104" t="inlineStr">
        <is>
          <t>Input cost inflation shock</t>
        </is>
      </c>
      <c r="B21" s="104" t="inlineStr">
        <is>
          <t>Severe</t>
        </is>
      </c>
      <c r="C21" s="104" t="inlineStr">
        <is>
          <t>Input cost inflation shock | Severe</t>
        </is>
      </c>
      <c r="D21" s="93" t="inlineStr">
        <is>
          <t>COGS rises -&gt; pricing lags -&gt; gross margin falls -&gt; interest coverage tightens -&gt; covenant headroom disappears.</t>
        </is>
      </c>
      <c r="E21" s="105" t="n">
        <v>-0.05</v>
      </c>
      <c r="F21" s="106" t="n">
        <v>-600</v>
      </c>
      <c r="G21" s="105" t="n">
        <v>0</v>
      </c>
      <c r="H21" s="105" t="n">
        <v>0.03</v>
      </c>
      <c r="I21" s="106" t="n">
        <v>0</v>
      </c>
      <c r="J21" s="106" t="n">
        <v>15</v>
      </c>
      <c r="K21" s="106" t="n">
        <v>3</v>
      </c>
      <c r="L21" s="106" t="n">
        <v>150</v>
      </c>
      <c r="M21" s="105" t="n">
        <v>0.95</v>
      </c>
      <c r="N21" s="105" t="n">
        <v>0.1</v>
      </c>
      <c r="O21" s="105" t="n">
        <v>0.9</v>
      </c>
      <c r="P21" s="105" t="n">
        <v>0.15</v>
      </c>
      <c r="Q21" s="105" t="n">
        <v>0.5</v>
      </c>
      <c r="R21" s="105" t="n">
        <v>1</v>
      </c>
      <c r="S21" s="105" t="n">
        <v>0</v>
      </c>
      <c r="T21" s="105" t="n">
        <v>0</v>
      </c>
      <c r="U21" s="105" t="n">
        <v>0</v>
      </c>
      <c r="V21" s="105" t="n">
        <v>0.2</v>
      </c>
    </row>
    <row r="22" ht="18" customHeight="1" s="28">
      <c r="A22" s="98" t="inlineStr">
        <is>
          <t>Wage inflation + sticky pricing</t>
        </is>
      </c>
      <c r="B22" s="98" t="inlineStr">
        <is>
          <t>Light</t>
        </is>
      </c>
      <c r="C22" s="98" t="inlineStr">
        <is>
          <t>Wage inflation + sticky pricing | Light</t>
        </is>
      </c>
      <c r="D22" s="91" t="inlineStr">
        <is>
          <t>Labor costs rise while pricing stays flat -&gt; EBITDA margin compresses -&gt; FCF falls -&gt; management slows hiring and growth.</t>
        </is>
      </c>
      <c r="E22" s="99" t="n">
        <v>0</v>
      </c>
      <c r="F22" s="100" t="n">
        <v>0</v>
      </c>
      <c r="G22" s="99" t="n">
        <v>0.03</v>
      </c>
      <c r="H22" s="99" t="n">
        <v>0.01</v>
      </c>
      <c r="I22" s="100" t="n">
        <v>0</v>
      </c>
      <c r="J22" s="100" t="n">
        <v>0</v>
      </c>
      <c r="K22" s="100" t="n">
        <v>0</v>
      </c>
      <c r="L22" s="100" t="n">
        <v>25</v>
      </c>
      <c r="M22" s="99" t="n">
        <v>1</v>
      </c>
      <c r="N22" s="99" t="n">
        <v>0.08</v>
      </c>
      <c r="O22" s="99" t="n">
        <v>1</v>
      </c>
      <c r="P22" s="99" t="n">
        <v>0.05</v>
      </c>
      <c r="Q22" s="99" t="n">
        <v>0</v>
      </c>
      <c r="R22" s="99" t="n">
        <v>0</v>
      </c>
      <c r="S22" s="99" t="n">
        <v>0</v>
      </c>
      <c r="T22" s="99" t="n">
        <v>0</v>
      </c>
      <c r="U22" s="99" t="n">
        <v>0</v>
      </c>
      <c r="V22" s="99" t="n">
        <v>0.24</v>
      </c>
    </row>
    <row r="23" ht="18" customHeight="1" s="28">
      <c r="A23" s="101" t="inlineStr">
        <is>
          <t>Wage inflation + sticky pricing</t>
        </is>
      </c>
      <c r="B23" s="101" t="inlineStr">
        <is>
          <t>Base</t>
        </is>
      </c>
      <c r="C23" s="101" t="inlineStr">
        <is>
          <t>Wage inflation + sticky pricing | Base</t>
        </is>
      </c>
      <c r="D23" s="92" t="inlineStr">
        <is>
          <t>Labor costs rise while pricing stays flat -&gt; EBITDA margin compresses -&gt; FCF falls -&gt; management slows hiring and growth.</t>
        </is>
      </c>
      <c r="E23" s="102" t="n">
        <v>0</v>
      </c>
      <c r="F23" s="103" t="n">
        <v>0</v>
      </c>
      <c r="G23" s="102" t="n">
        <v>0.06</v>
      </c>
      <c r="H23" s="102" t="n">
        <v>0.02</v>
      </c>
      <c r="I23" s="103" t="n">
        <v>0</v>
      </c>
      <c r="J23" s="103" t="n">
        <v>0</v>
      </c>
      <c r="K23" s="103" t="n">
        <v>0</v>
      </c>
      <c r="L23" s="103" t="n">
        <v>50</v>
      </c>
      <c r="M23" s="102" t="n">
        <v>1</v>
      </c>
      <c r="N23" s="102" t="n">
        <v>0.08</v>
      </c>
      <c r="O23" s="102" t="n">
        <v>0.98</v>
      </c>
      <c r="P23" s="102" t="n">
        <v>0.1</v>
      </c>
      <c r="Q23" s="102" t="n">
        <v>0.25</v>
      </c>
      <c r="R23" s="102" t="n">
        <v>0.5</v>
      </c>
      <c r="S23" s="102" t="n">
        <v>0</v>
      </c>
      <c r="T23" s="102" t="n">
        <v>0</v>
      </c>
      <c r="U23" s="102" t="n">
        <v>0</v>
      </c>
      <c r="V23" s="102" t="n">
        <v>0.23</v>
      </c>
    </row>
    <row r="24" ht="18" customHeight="1" s="28">
      <c r="A24" s="104" t="inlineStr">
        <is>
          <t>Wage inflation + sticky pricing</t>
        </is>
      </c>
      <c r="B24" s="104" t="inlineStr">
        <is>
          <t>Severe</t>
        </is>
      </c>
      <c r="C24" s="104" t="inlineStr">
        <is>
          <t>Wage inflation + sticky pricing | Severe</t>
        </is>
      </c>
      <c r="D24" s="93" t="inlineStr">
        <is>
          <t>Labor costs rise while pricing stays flat -&gt; EBITDA margin compresses -&gt; FCF falls -&gt; management slows hiring and growth.</t>
        </is>
      </c>
      <c r="E24" s="105" t="n">
        <v>-0.03</v>
      </c>
      <c r="F24" s="106" t="n">
        <v>-50</v>
      </c>
      <c r="G24" s="105" t="n">
        <v>0.09</v>
      </c>
      <c r="H24" s="105" t="n">
        <v>0.03</v>
      </c>
      <c r="I24" s="106" t="n">
        <v>0</v>
      </c>
      <c r="J24" s="106" t="n">
        <v>0</v>
      </c>
      <c r="K24" s="106" t="n">
        <v>0</v>
      </c>
      <c r="L24" s="106" t="n">
        <v>75</v>
      </c>
      <c r="M24" s="105" t="n">
        <v>0.98</v>
      </c>
      <c r="N24" s="105" t="n">
        <v>0.08</v>
      </c>
      <c r="O24" s="105" t="n">
        <v>0.95</v>
      </c>
      <c r="P24" s="105" t="n">
        <v>0.15</v>
      </c>
      <c r="Q24" s="105" t="n">
        <v>0.5</v>
      </c>
      <c r="R24" s="105" t="n">
        <v>1</v>
      </c>
      <c r="S24" s="105" t="n">
        <v>0</v>
      </c>
      <c r="T24" s="105" t="n">
        <v>0</v>
      </c>
      <c r="U24" s="105" t="n">
        <v>0</v>
      </c>
      <c r="V24" s="105" t="n">
        <v>0.21</v>
      </c>
    </row>
    <row r="25" ht="18" customHeight="1" s="28">
      <c r="A25" s="98" t="inlineStr">
        <is>
          <t>Working capital trap</t>
        </is>
      </c>
      <c r="B25" s="98" t="inlineStr">
        <is>
          <t>Light</t>
        </is>
      </c>
      <c r="C25" s="98" t="inlineStr">
        <is>
          <t>Working capital trap | Light</t>
        </is>
      </c>
      <c r="D25" s="91" t="inlineStr">
        <is>
          <t>Receivables and inventory rise faster than payables -&gt; cash gets locked in operations -&gt; revolver need rises -&gt; lenders gain leverage.</t>
        </is>
      </c>
      <c r="E25" s="99" t="n">
        <v>-0.03</v>
      </c>
      <c r="F25" s="100" t="n">
        <v>-50</v>
      </c>
      <c r="G25" s="99" t="n">
        <v>0</v>
      </c>
      <c r="H25" s="99" t="n">
        <v>0</v>
      </c>
      <c r="I25" s="100" t="n">
        <v>10</v>
      </c>
      <c r="J25" s="100" t="n">
        <v>8</v>
      </c>
      <c r="K25" s="100" t="n">
        <v>0</v>
      </c>
      <c r="L25" s="100" t="n">
        <v>50</v>
      </c>
      <c r="M25" s="99" t="n">
        <v>1</v>
      </c>
      <c r="N25" s="99" t="n">
        <v>0.08</v>
      </c>
      <c r="O25" s="99" t="n">
        <v>0.98</v>
      </c>
      <c r="P25" s="99" t="n">
        <v>0.05</v>
      </c>
      <c r="Q25" s="99" t="n">
        <v>0</v>
      </c>
      <c r="R25" s="99" t="n">
        <v>0</v>
      </c>
      <c r="S25" s="99" t="n">
        <v>0</v>
      </c>
      <c r="T25" s="99" t="n">
        <v>0</v>
      </c>
      <c r="U25" s="99" t="n">
        <v>0</v>
      </c>
      <c r="V25" s="99" t="n">
        <v>0.23</v>
      </c>
    </row>
    <row r="26" ht="18" customHeight="1" s="28">
      <c r="A26" s="101" t="inlineStr">
        <is>
          <t>Working capital trap</t>
        </is>
      </c>
      <c r="B26" s="101" t="inlineStr">
        <is>
          <t>Base</t>
        </is>
      </c>
      <c r="C26" s="101" t="inlineStr">
        <is>
          <t>Working capital trap | Base</t>
        </is>
      </c>
      <c r="D26" s="92" t="inlineStr">
        <is>
          <t>Receivables and inventory rise faster than payables -&gt; cash gets locked in operations -&gt; revolver need rises -&gt; lenders gain leverage.</t>
        </is>
      </c>
      <c r="E26" s="102" t="n">
        <v>-0.05</v>
      </c>
      <c r="F26" s="103" t="n">
        <v>-100</v>
      </c>
      <c r="G26" s="102" t="n">
        <v>0</v>
      </c>
      <c r="H26" s="102" t="n">
        <v>0</v>
      </c>
      <c r="I26" s="103" t="n">
        <v>20</v>
      </c>
      <c r="J26" s="103" t="n">
        <v>15</v>
      </c>
      <c r="K26" s="103" t="n">
        <v>-2</v>
      </c>
      <c r="L26" s="103" t="n">
        <v>100</v>
      </c>
      <c r="M26" s="102" t="n">
        <v>0.95</v>
      </c>
      <c r="N26" s="102" t="n">
        <v>0.08</v>
      </c>
      <c r="O26" s="102" t="n">
        <v>0.95</v>
      </c>
      <c r="P26" s="102" t="n">
        <v>0.1</v>
      </c>
      <c r="Q26" s="102" t="n">
        <v>0.25</v>
      </c>
      <c r="R26" s="102" t="n">
        <v>0.75</v>
      </c>
      <c r="S26" s="102" t="n">
        <v>0</v>
      </c>
      <c r="T26" s="102" t="n">
        <v>0</v>
      </c>
      <c r="U26" s="102" t="n">
        <v>0</v>
      </c>
      <c r="V26" s="102" t="n">
        <v>0.22</v>
      </c>
    </row>
    <row r="27" ht="18" customHeight="1" s="28">
      <c r="A27" s="104" t="inlineStr">
        <is>
          <t>Working capital trap</t>
        </is>
      </c>
      <c r="B27" s="104" t="inlineStr">
        <is>
          <t>Severe</t>
        </is>
      </c>
      <c r="C27" s="104" t="inlineStr">
        <is>
          <t>Working capital trap | Severe</t>
        </is>
      </c>
      <c r="D27" s="93" t="inlineStr">
        <is>
          <t>Receivables and inventory rise faster than payables -&gt; cash gets locked in operations -&gt; revolver need rises -&gt; lenders gain leverage.</t>
        </is>
      </c>
      <c r="E27" s="105" t="n">
        <v>-0.08</v>
      </c>
      <c r="F27" s="106" t="n">
        <v>-150</v>
      </c>
      <c r="G27" s="105" t="n">
        <v>0</v>
      </c>
      <c r="H27" s="105" t="n">
        <v>0</v>
      </c>
      <c r="I27" s="106" t="n">
        <v>30</v>
      </c>
      <c r="J27" s="106" t="n">
        <v>25</v>
      </c>
      <c r="K27" s="106" t="n">
        <v>-5</v>
      </c>
      <c r="L27" s="106" t="n">
        <v>150</v>
      </c>
      <c r="M27" s="105" t="n">
        <v>0.85</v>
      </c>
      <c r="N27" s="105" t="n">
        <v>0.1</v>
      </c>
      <c r="O27" s="105" t="n">
        <v>0.85</v>
      </c>
      <c r="P27" s="105" t="n">
        <v>0.2</v>
      </c>
      <c r="Q27" s="105" t="n">
        <v>0.5</v>
      </c>
      <c r="R27" s="105" t="n">
        <v>1</v>
      </c>
      <c r="S27" s="105" t="n">
        <v>0</v>
      </c>
      <c r="T27" s="105" t="n">
        <v>0</v>
      </c>
      <c r="U27" s="105" t="n">
        <v>0</v>
      </c>
      <c r="V27" s="105" t="n">
        <v>0.2</v>
      </c>
    </row>
    <row r="28" ht="18" customHeight="1" s="28">
      <c r="A28" s="98" t="inlineStr">
        <is>
          <t>Inventory overbuild + demand slowdown</t>
        </is>
      </c>
      <c r="B28" s="98" t="inlineStr">
        <is>
          <t>Light</t>
        </is>
      </c>
      <c r="C28" s="98" t="inlineStr">
        <is>
          <t>Inventory overbuild + demand slowdown | Light</t>
        </is>
      </c>
      <c r="D28" s="91" t="inlineStr">
        <is>
          <t>Inventory builds while demand softens -&gt; discounting starts -&gt; margins fall -&gt; write-down pressure and cash burn accelerate.</t>
        </is>
      </c>
      <c r="E28" s="99" t="n">
        <v>-0.05</v>
      </c>
      <c r="F28" s="100" t="n">
        <v>-150</v>
      </c>
      <c r="G28" s="99" t="n">
        <v>0</v>
      </c>
      <c r="H28" s="99" t="n">
        <v>0.01</v>
      </c>
      <c r="I28" s="100" t="n">
        <v>2</v>
      </c>
      <c r="J28" s="100" t="n">
        <v>20</v>
      </c>
      <c r="K28" s="100" t="n">
        <v>-2</v>
      </c>
      <c r="L28" s="100" t="n">
        <v>75</v>
      </c>
      <c r="M28" s="99" t="n">
        <v>0.98</v>
      </c>
      <c r="N28" s="99" t="n">
        <v>0.08</v>
      </c>
      <c r="O28" s="99" t="n">
        <v>0.95</v>
      </c>
      <c r="P28" s="99" t="n">
        <v>0.05</v>
      </c>
      <c r="Q28" s="99" t="n">
        <v>0</v>
      </c>
      <c r="R28" s="99" t="n">
        <v>0</v>
      </c>
      <c r="S28" s="99" t="n">
        <v>0</v>
      </c>
      <c r="T28" s="99" t="n">
        <v>0</v>
      </c>
      <c r="U28" s="99" t="n">
        <v>0</v>
      </c>
      <c r="V28" s="99" t="n">
        <v>0.22</v>
      </c>
    </row>
    <row r="29" ht="18" customHeight="1" s="28">
      <c r="A29" s="101" t="inlineStr">
        <is>
          <t>Inventory overbuild + demand slowdown</t>
        </is>
      </c>
      <c r="B29" s="101" t="inlineStr">
        <is>
          <t>Base</t>
        </is>
      </c>
      <c r="C29" s="101" t="inlineStr">
        <is>
          <t>Inventory overbuild + demand slowdown | Base</t>
        </is>
      </c>
      <c r="D29" s="92" t="inlineStr">
        <is>
          <t>Inventory builds while demand softens -&gt; discounting starts -&gt; margins fall -&gt; write-down pressure and cash burn accelerate.</t>
        </is>
      </c>
      <c r="E29" s="102" t="n">
        <v>-0.1</v>
      </c>
      <c r="F29" s="103" t="n">
        <v>-250</v>
      </c>
      <c r="G29" s="102" t="n">
        <v>0</v>
      </c>
      <c r="H29" s="102" t="n">
        <v>0.02</v>
      </c>
      <c r="I29" s="103" t="n">
        <v>5</v>
      </c>
      <c r="J29" s="103" t="n">
        <v>35</v>
      </c>
      <c r="K29" s="103" t="n">
        <v>-3</v>
      </c>
      <c r="L29" s="103" t="n">
        <v>125</v>
      </c>
      <c r="M29" s="102" t="n">
        <v>0.95</v>
      </c>
      <c r="N29" s="102" t="n">
        <v>0.1</v>
      </c>
      <c r="O29" s="102" t="n">
        <v>0.9</v>
      </c>
      <c r="P29" s="102" t="n">
        <v>0.1</v>
      </c>
      <c r="Q29" s="102" t="n">
        <v>0.25</v>
      </c>
      <c r="R29" s="102" t="n">
        <v>0.75</v>
      </c>
      <c r="S29" s="102" t="n">
        <v>0</v>
      </c>
      <c r="T29" s="102" t="n">
        <v>0</v>
      </c>
      <c r="U29" s="102" t="n">
        <v>0</v>
      </c>
      <c r="V29" s="102" t="n">
        <v>0.2</v>
      </c>
    </row>
    <row r="30" ht="18" customHeight="1" s="28">
      <c r="A30" s="104" t="inlineStr">
        <is>
          <t>Inventory overbuild + demand slowdown</t>
        </is>
      </c>
      <c r="B30" s="104" t="inlineStr">
        <is>
          <t>Severe</t>
        </is>
      </c>
      <c r="C30" s="104" t="inlineStr">
        <is>
          <t>Inventory overbuild + demand slowdown | Severe</t>
        </is>
      </c>
      <c r="D30" s="93" t="inlineStr">
        <is>
          <t>Inventory builds while demand softens -&gt; discounting starts -&gt; margins fall -&gt; write-down pressure and cash burn accelerate.</t>
        </is>
      </c>
      <c r="E30" s="105" t="n">
        <v>-0.15</v>
      </c>
      <c r="F30" s="106" t="n">
        <v>-350</v>
      </c>
      <c r="G30" s="105" t="n">
        <v>0</v>
      </c>
      <c r="H30" s="105" t="n">
        <v>0.03</v>
      </c>
      <c r="I30" s="106" t="n">
        <v>8</v>
      </c>
      <c r="J30" s="106" t="n">
        <v>50</v>
      </c>
      <c r="K30" s="106" t="n">
        <v>-5</v>
      </c>
      <c r="L30" s="106" t="n">
        <v>200</v>
      </c>
      <c r="M30" s="105" t="n">
        <v>0.85</v>
      </c>
      <c r="N30" s="105" t="n">
        <v>0.12</v>
      </c>
      <c r="O30" s="105" t="n">
        <v>0.75</v>
      </c>
      <c r="P30" s="105" t="n">
        <v>0.2</v>
      </c>
      <c r="Q30" s="105" t="n">
        <v>0.5</v>
      </c>
      <c r="R30" s="105" t="n">
        <v>1</v>
      </c>
      <c r="S30" s="105" t="n">
        <v>0.02</v>
      </c>
      <c r="T30" s="105" t="n">
        <v>0</v>
      </c>
      <c r="U30" s="105" t="n">
        <v>0</v>
      </c>
      <c r="V30" s="105" t="n">
        <v>0.18</v>
      </c>
    </row>
    <row r="31" ht="18" customHeight="1" s="28">
      <c r="A31" s="98" t="inlineStr">
        <is>
          <t>Capex overrun + weak returns</t>
        </is>
      </c>
      <c r="B31" s="98" t="inlineStr">
        <is>
          <t>Light</t>
        </is>
      </c>
      <c r="C31" s="98" t="inlineStr">
        <is>
          <t>Capex overrun + weak returns | Light</t>
        </is>
      </c>
      <c r="D31" s="91" t="inlineStr">
        <is>
          <t>Capex rises before returns show up -&gt; FCF goes negative -&gt; debt grows -&gt; ROIC and valuation compress.</t>
        </is>
      </c>
      <c r="E31" s="99" t="n">
        <v>0</v>
      </c>
      <c r="F31" s="100" t="n">
        <v>0</v>
      </c>
      <c r="G31" s="99" t="n">
        <v>0</v>
      </c>
      <c r="H31" s="99" t="n">
        <v>0</v>
      </c>
      <c r="I31" s="100" t="n">
        <v>1</v>
      </c>
      <c r="J31" s="100" t="n">
        <v>3</v>
      </c>
      <c r="K31" s="100" t="n">
        <v>0</v>
      </c>
      <c r="L31" s="100" t="n">
        <v>50</v>
      </c>
      <c r="M31" s="99" t="n">
        <v>1</v>
      </c>
      <c r="N31" s="99" t="n">
        <v>0.08</v>
      </c>
      <c r="O31" s="99" t="n">
        <v>0.98</v>
      </c>
      <c r="P31" s="99" t="n">
        <v>-0.1</v>
      </c>
      <c r="Q31" s="99" t="n">
        <v>0.25</v>
      </c>
      <c r="R31" s="99" t="n">
        <v>0.5</v>
      </c>
      <c r="S31" s="99" t="n">
        <v>0.02</v>
      </c>
      <c r="T31" s="99" t="n">
        <v>0</v>
      </c>
      <c r="U31" s="99" t="n">
        <v>0</v>
      </c>
      <c r="V31" s="99" t="n">
        <v>0.24</v>
      </c>
    </row>
    <row r="32" ht="18" customHeight="1" s="28">
      <c r="A32" s="101" t="inlineStr">
        <is>
          <t>Capex overrun + weak returns</t>
        </is>
      </c>
      <c r="B32" s="101" t="inlineStr">
        <is>
          <t>Base</t>
        </is>
      </c>
      <c r="C32" s="101" t="inlineStr">
        <is>
          <t>Capex overrun + weak returns | Base</t>
        </is>
      </c>
      <c r="D32" s="92" t="inlineStr">
        <is>
          <t>Capex rises before returns show up -&gt; FCF goes negative -&gt; debt grows -&gt; ROIC and valuation compress.</t>
        </is>
      </c>
      <c r="E32" s="102" t="n">
        <v>-0.02</v>
      </c>
      <c r="F32" s="103" t="n">
        <v>-50</v>
      </c>
      <c r="G32" s="102" t="n">
        <v>0</v>
      </c>
      <c r="H32" s="102" t="n">
        <v>0</v>
      </c>
      <c r="I32" s="103" t="n">
        <v>2</v>
      </c>
      <c r="J32" s="103" t="n">
        <v>5</v>
      </c>
      <c r="K32" s="103" t="n">
        <v>0</v>
      </c>
      <c r="L32" s="103" t="n">
        <v>100</v>
      </c>
      <c r="M32" s="102" t="n">
        <v>0.98</v>
      </c>
      <c r="N32" s="102" t="n">
        <v>0.08</v>
      </c>
      <c r="O32" s="102" t="n">
        <v>0.95</v>
      </c>
      <c r="P32" s="102" t="n">
        <v>-0.2</v>
      </c>
      <c r="Q32" s="102" t="n">
        <v>0.5</v>
      </c>
      <c r="R32" s="102" t="n">
        <v>1</v>
      </c>
      <c r="S32" s="102" t="n">
        <v>0.05</v>
      </c>
      <c r="T32" s="102" t="n">
        <v>0</v>
      </c>
      <c r="U32" s="102" t="n">
        <v>0</v>
      </c>
      <c r="V32" s="102" t="n">
        <v>0.22</v>
      </c>
    </row>
    <row r="33" ht="18" customHeight="1" s="28">
      <c r="A33" s="104" t="inlineStr">
        <is>
          <t>Capex overrun + weak returns</t>
        </is>
      </c>
      <c r="B33" s="104" t="inlineStr">
        <is>
          <t>Severe</t>
        </is>
      </c>
      <c r="C33" s="104" t="inlineStr">
        <is>
          <t>Capex overrun + weak returns | Severe</t>
        </is>
      </c>
      <c r="D33" s="93" t="inlineStr">
        <is>
          <t>Capex rises before returns show up -&gt; FCF goes negative -&gt; debt grows -&gt; ROIC and valuation compress.</t>
        </is>
      </c>
      <c r="E33" s="105" t="n">
        <v>-0.05</v>
      </c>
      <c r="F33" s="106" t="n">
        <v>-100</v>
      </c>
      <c r="G33" s="105" t="n">
        <v>0</v>
      </c>
      <c r="H33" s="105" t="n">
        <v>0</v>
      </c>
      <c r="I33" s="106" t="n">
        <v>5</v>
      </c>
      <c r="J33" s="106" t="n">
        <v>10</v>
      </c>
      <c r="K33" s="106" t="n">
        <v>-1</v>
      </c>
      <c r="L33" s="106" t="n">
        <v>150</v>
      </c>
      <c r="M33" s="105" t="n">
        <v>0.95</v>
      </c>
      <c r="N33" s="105" t="n">
        <v>0.1</v>
      </c>
      <c r="O33" s="105" t="n">
        <v>0.85</v>
      </c>
      <c r="P33" s="105" t="n">
        <v>-0.3</v>
      </c>
      <c r="Q33" s="105" t="n">
        <v>1</v>
      </c>
      <c r="R33" s="105" t="n">
        <v>1</v>
      </c>
      <c r="S33" s="105" t="n">
        <v>0.08</v>
      </c>
      <c r="T33" s="105" t="n">
        <v>0</v>
      </c>
      <c r="U33" s="105" t="n">
        <v>0</v>
      </c>
      <c r="V33" s="105" t="n">
        <v>0.2</v>
      </c>
    </row>
    <row r="34" ht="18" customHeight="1" s="28">
      <c r="A34" s="98" t="inlineStr">
        <is>
          <t>Refinancing shock</t>
        </is>
      </c>
      <c r="B34" s="98" t="inlineStr">
        <is>
          <t>Light</t>
        </is>
      </c>
      <c r="C34" s="98" t="inlineStr">
        <is>
          <t>Refinancing shock | Light</t>
        </is>
      </c>
      <c r="D34" s="91" t="inlineStr">
        <is>
          <t>Debt maturity wall meets tighter credit -&gt; interest cost jumps -&gt; coverage falls -&gt; distressed refinancing or dilution follows.</t>
        </is>
      </c>
      <c r="E34" s="99" t="n">
        <v>0</v>
      </c>
      <c r="F34" s="100" t="n">
        <v>0</v>
      </c>
      <c r="G34" s="99" t="n">
        <v>0</v>
      </c>
      <c r="H34" s="99" t="n">
        <v>0</v>
      </c>
      <c r="I34" s="100" t="n">
        <v>0</v>
      </c>
      <c r="J34" s="100" t="n">
        <v>0</v>
      </c>
      <c r="K34" s="100" t="n">
        <v>0</v>
      </c>
      <c r="L34" s="100" t="n">
        <v>150</v>
      </c>
      <c r="M34" s="99" t="n">
        <v>0.8</v>
      </c>
      <c r="N34" s="99" t="n">
        <v>0.1</v>
      </c>
      <c r="O34" s="99" t="n">
        <v>0.75</v>
      </c>
      <c r="P34" s="99" t="n">
        <v>0.1</v>
      </c>
      <c r="Q34" s="99" t="n">
        <v>0.5</v>
      </c>
      <c r="R34" s="99" t="n">
        <v>1</v>
      </c>
      <c r="S34" s="99" t="n">
        <v>0</v>
      </c>
      <c r="T34" s="99" t="n">
        <v>0</v>
      </c>
      <c r="U34" s="99" t="n">
        <v>0</v>
      </c>
      <c r="V34" s="99" t="n">
        <v>0.23</v>
      </c>
    </row>
    <row r="35" ht="18" customHeight="1" s="28">
      <c r="A35" s="101" t="inlineStr">
        <is>
          <t>Refinancing shock</t>
        </is>
      </c>
      <c r="B35" s="101" t="inlineStr">
        <is>
          <t>Base</t>
        </is>
      </c>
      <c r="C35" s="101" t="inlineStr">
        <is>
          <t>Refinancing shock | Base</t>
        </is>
      </c>
      <c r="D35" s="92" t="inlineStr">
        <is>
          <t>Debt maturity wall meets tighter credit -&gt; interest cost jumps -&gt; coverage falls -&gt; distressed refinancing or dilution follows.</t>
        </is>
      </c>
      <c r="E35" s="102" t="n">
        <v>-0.03</v>
      </c>
      <c r="F35" s="103" t="n">
        <v>-50</v>
      </c>
      <c r="G35" s="102" t="n">
        <v>0</v>
      </c>
      <c r="H35" s="102" t="n">
        <v>0</v>
      </c>
      <c r="I35" s="103" t="n">
        <v>2</v>
      </c>
      <c r="J35" s="103" t="n">
        <v>2</v>
      </c>
      <c r="K35" s="103" t="n">
        <v>0</v>
      </c>
      <c r="L35" s="103" t="n">
        <v>300</v>
      </c>
      <c r="M35" s="102" t="n">
        <v>0.5</v>
      </c>
      <c r="N35" s="102" t="n">
        <v>0.15</v>
      </c>
      <c r="O35" s="102" t="n">
        <v>0.5</v>
      </c>
      <c r="P35" s="102" t="n">
        <v>0.25</v>
      </c>
      <c r="Q35" s="102" t="n">
        <v>1</v>
      </c>
      <c r="R35" s="102" t="n">
        <v>1</v>
      </c>
      <c r="S35" s="102" t="n">
        <v>0</v>
      </c>
      <c r="T35" s="102" t="n">
        <v>0</v>
      </c>
      <c r="U35" s="102" t="n">
        <v>0</v>
      </c>
      <c r="V35" s="102" t="n">
        <v>0.21</v>
      </c>
    </row>
    <row r="36" ht="18" customHeight="1" s="28">
      <c r="A36" s="104" t="inlineStr">
        <is>
          <t>Refinancing shock</t>
        </is>
      </c>
      <c r="B36" s="104" t="inlineStr">
        <is>
          <t>Severe</t>
        </is>
      </c>
      <c r="C36" s="104" t="inlineStr">
        <is>
          <t>Refinancing shock | Severe</t>
        </is>
      </c>
      <c r="D36" s="93" t="inlineStr">
        <is>
          <t>Debt maturity wall meets tighter credit -&gt; interest cost jumps -&gt; coverage falls -&gt; distressed refinancing or dilution follows.</t>
        </is>
      </c>
      <c r="E36" s="105" t="n">
        <v>-0.08</v>
      </c>
      <c r="F36" s="106" t="n">
        <v>-100</v>
      </c>
      <c r="G36" s="105" t="n">
        <v>0</v>
      </c>
      <c r="H36" s="105" t="n">
        <v>0</v>
      </c>
      <c r="I36" s="106" t="n">
        <v>5</v>
      </c>
      <c r="J36" s="106" t="n">
        <v>5</v>
      </c>
      <c r="K36" s="106" t="n">
        <v>-1</v>
      </c>
      <c r="L36" s="106" t="n">
        <v>500</v>
      </c>
      <c r="M36" s="105" t="n">
        <v>0.2</v>
      </c>
      <c r="N36" s="105" t="n">
        <v>0.2</v>
      </c>
      <c r="O36" s="105" t="n">
        <v>0.2</v>
      </c>
      <c r="P36" s="105" t="n">
        <v>0.4</v>
      </c>
      <c r="Q36" s="105" t="n">
        <v>1</v>
      </c>
      <c r="R36" s="105" t="n">
        <v>1</v>
      </c>
      <c r="S36" s="105" t="n">
        <v>0</v>
      </c>
      <c r="T36" s="105" t="n">
        <v>0</v>
      </c>
      <c r="U36" s="105" t="n">
        <v>0.01</v>
      </c>
      <c r="V36" s="105" t="n">
        <v>0.18</v>
      </c>
    </row>
    <row r="37" ht="18" customHeight="1" s="28">
      <c r="A37" s="98" t="inlineStr">
        <is>
          <t>Rising rates + high leverage</t>
        </is>
      </c>
      <c r="B37" s="98" t="inlineStr">
        <is>
          <t>Light</t>
        </is>
      </c>
      <c r="C37" s="98" t="inlineStr">
        <is>
          <t>Rising rates + high leverage | Light</t>
        </is>
      </c>
      <c r="D37" s="91" t="inlineStr">
        <is>
          <t>Floating-rate debt reprices upward -&gt; interest burden grows -&gt; FCF falls -&gt; leverage rises -&gt; rating pressure increases.</t>
        </is>
      </c>
      <c r="E37" s="99" t="n">
        <v>0</v>
      </c>
      <c r="F37" s="100" t="n">
        <v>0</v>
      </c>
      <c r="G37" s="99" t="n">
        <v>0</v>
      </c>
      <c r="H37" s="99" t="n">
        <v>0</v>
      </c>
      <c r="I37" s="100" t="n">
        <v>0</v>
      </c>
      <c r="J37" s="100" t="n">
        <v>0</v>
      </c>
      <c r="K37" s="100" t="n">
        <v>0</v>
      </c>
      <c r="L37" s="100" t="n">
        <v>150</v>
      </c>
      <c r="M37" s="99" t="n">
        <v>1</v>
      </c>
      <c r="N37" s="99" t="n">
        <v>0.08</v>
      </c>
      <c r="O37" s="99" t="n">
        <v>0.98</v>
      </c>
      <c r="P37" s="99" t="n">
        <v>0</v>
      </c>
      <c r="Q37" s="99" t="n">
        <v>0</v>
      </c>
      <c r="R37" s="99" t="n">
        <v>0</v>
      </c>
      <c r="S37" s="99" t="n">
        <v>0</v>
      </c>
      <c r="T37" s="99" t="n">
        <v>0</v>
      </c>
      <c r="U37" s="99" t="n">
        <v>0</v>
      </c>
      <c r="V37" s="99" t="n">
        <v>0.24</v>
      </c>
    </row>
    <row r="38" ht="18" customHeight="1" s="28">
      <c r="A38" s="101" t="inlineStr">
        <is>
          <t>Rising rates + high leverage</t>
        </is>
      </c>
      <c r="B38" s="101" t="inlineStr">
        <is>
          <t>Base</t>
        </is>
      </c>
      <c r="C38" s="101" t="inlineStr">
        <is>
          <t>Rising rates + high leverage | Base</t>
        </is>
      </c>
      <c r="D38" s="92" t="inlineStr">
        <is>
          <t>Floating-rate debt reprices upward -&gt; interest burden grows -&gt; FCF falls -&gt; leverage rises -&gt; rating pressure increases.</t>
        </is>
      </c>
      <c r="E38" s="102" t="n">
        <v>0</v>
      </c>
      <c r="F38" s="103" t="n">
        <v>0</v>
      </c>
      <c r="G38" s="102" t="n">
        <v>0</v>
      </c>
      <c r="H38" s="102" t="n">
        <v>0</v>
      </c>
      <c r="I38" s="103" t="n">
        <v>0</v>
      </c>
      <c r="J38" s="103" t="n">
        <v>0</v>
      </c>
      <c r="K38" s="103" t="n">
        <v>0</v>
      </c>
      <c r="L38" s="103" t="n">
        <v>250</v>
      </c>
      <c r="M38" s="102" t="n">
        <v>0.98</v>
      </c>
      <c r="N38" s="102" t="n">
        <v>0.1</v>
      </c>
      <c r="O38" s="102" t="n">
        <v>0.9</v>
      </c>
      <c r="P38" s="102" t="n">
        <v>0.1</v>
      </c>
      <c r="Q38" s="102" t="n">
        <v>0.25</v>
      </c>
      <c r="R38" s="102" t="n">
        <v>0.5</v>
      </c>
      <c r="S38" s="102" t="n">
        <v>0</v>
      </c>
      <c r="T38" s="102" t="n">
        <v>0</v>
      </c>
      <c r="U38" s="102" t="n">
        <v>0</v>
      </c>
      <c r="V38" s="102" t="n">
        <v>0.23</v>
      </c>
    </row>
    <row r="39" ht="18" customHeight="1" s="28">
      <c r="A39" s="104" t="inlineStr">
        <is>
          <t>Rising rates + high leverage</t>
        </is>
      </c>
      <c r="B39" s="104" t="inlineStr">
        <is>
          <t>Severe</t>
        </is>
      </c>
      <c r="C39" s="104" t="inlineStr">
        <is>
          <t>Rising rates + high leverage | Severe</t>
        </is>
      </c>
      <c r="D39" s="93" t="inlineStr">
        <is>
          <t>Floating-rate debt reprices upward -&gt; interest burden grows -&gt; FCF falls -&gt; leverage rises -&gt; rating pressure increases.</t>
        </is>
      </c>
      <c r="E39" s="105" t="n">
        <v>-0.03</v>
      </c>
      <c r="F39" s="106" t="n">
        <v>-50</v>
      </c>
      <c r="G39" s="105" t="n">
        <v>0</v>
      </c>
      <c r="H39" s="105" t="n">
        <v>0</v>
      </c>
      <c r="I39" s="106" t="n">
        <v>0</v>
      </c>
      <c r="J39" s="106" t="n">
        <v>0</v>
      </c>
      <c r="K39" s="106" t="n">
        <v>0</v>
      </c>
      <c r="L39" s="106" t="n">
        <v>400</v>
      </c>
      <c r="M39" s="105" t="n">
        <v>0.95</v>
      </c>
      <c r="N39" s="105" t="n">
        <v>0.12</v>
      </c>
      <c r="O39" s="105" t="n">
        <v>0.75</v>
      </c>
      <c r="P39" s="105" t="n">
        <v>0.2</v>
      </c>
      <c r="Q39" s="105" t="n">
        <v>0.5</v>
      </c>
      <c r="R39" s="105" t="n">
        <v>1</v>
      </c>
      <c r="S39" s="105" t="n">
        <v>0</v>
      </c>
      <c r="T39" s="105" t="n">
        <v>0</v>
      </c>
      <c r="U39" s="105" t="n">
        <v>0</v>
      </c>
      <c r="V39" s="105" t="n">
        <v>0.21</v>
      </c>
    </row>
    <row r="40" ht="18" customHeight="1" s="28">
      <c r="A40" s="98" t="inlineStr">
        <is>
          <t>FX shock (import-heavy company)</t>
        </is>
      </c>
      <c r="B40" s="98" t="inlineStr">
        <is>
          <t>Light</t>
        </is>
      </c>
      <c r="C40" s="98" t="inlineStr">
        <is>
          <t>FX shock (import-heavy company) | Light</t>
        </is>
      </c>
      <c r="D40" s="91" t="inlineStr">
        <is>
          <t>Local currency weakens -&gt; import costs rise -&gt; margin shrinks -&gt; pricing lags -&gt; profitability deteriorates.</t>
        </is>
      </c>
      <c r="E40" s="99" t="n">
        <v>0</v>
      </c>
      <c r="F40" s="100" t="n">
        <v>-150</v>
      </c>
      <c r="G40" s="99" t="n">
        <v>0</v>
      </c>
      <c r="H40" s="99" t="n">
        <v>0</v>
      </c>
      <c r="I40" s="100" t="n">
        <v>0</v>
      </c>
      <c r="J40" s="100" t="n">
        <v>5</v>
      </c>
      <c r="K40" s="100" t="n">
        <v>1</v>
      </c>
      <c r="L40" s="100" t="n">
        <v>50</v>
      </c>
      <c r="M40" s="99" t="n">
        <v>1</v>
      </c>
      <c r="N40" s="99" t="n">
        <v>0.08</v>
      </c>
      <c r="O40" s="99" t="n">
        <v>0.98</v>
      </c>
      <c r="P40" s="99" t="n">
        <v>0</v>
      </c>
      <c r="Q40" s="99" t="n">
        <v>0</v>
      </c>
      <c r="R40" s="99" t="n">
        <v>0</v>
      </c>
      <c r="S40" s="99" t="n">
        <v>0</v>
      </c>
      <c r="T40" s="99" t="n">
        <v>0</v>
      </c>
      <c r="U40" s="99" t="n">
        <v>0</v>
      </c>
      <c r="V40" s="99" t="n">
        <v>0.24</v>
      </c>
    </row>
    <row r="41" ht="18" customHeight="1" s="28">
      <c r="A41" s="101" t="inlineStr">
        <is>
          <t>FX shock (import-heavy company)</t>
        </is>
      </c>
      <c r="B41" s="101" t="inlineStr">
        <is>
          <t>Base</t>
        </is>
      </c>
      <c r="C41" s="101" t="inlineStr">
        <is>
          <t>FX shock (import-heavy company) | Base</t>
        </is>
      </c>
      <c r="D41" s="92" t="inlineStr">
        <is>
          <t>Local currency weakens -&gt; import costs rise -&gt; margin shrinks -&gt; pricing lags -&gt; profitability deteriorates.</t>
        </is>
      </c>
      <c r="E41" s="102" t="n">
        <v>-0.03</v>
      </c>
      <c r="F41" s="103" t="n">
        <v>-250</v>
      </c>
      <c r="G41" s="102" t="n">
        <v>0</v>
      </c>
      <c r="H41" s="102" t="n">
        <v>0</v>
      </c>
      <c r="I41" s="103" t="n">
        <v>0</v>
      </c>
      <c r="J41" s="103" t="n">
        <v>10</v>
      </c>
      <c r="K41" s="103" t="n">
        <v>2</v>
      </c>
      <c r="L41" s="103" t="n">
        <v>100</v>
      </c>
      <c r="M41" s="102" t="n">
        <v>0.98</v>
      </c>
      <c r="N41" s="102" t="n">
        <v>0.08</v>
      </c>
      <c r="O41" s="102" t="n">
        <v>0.95</v>
      </c>
      <c r="P41" s="102" t="n">
        <v>0.05</v>
      </c>
      <c r="Q41" s="102" t="n">
        <v>0</v>
      </c>
      <c r="R41" s="102" t="n">
        <v>0</v>
      </c>
      <c r="S41" s="102" t="n">
        <v>0</v>
      </c>
      <c r="T41" s="102" t="n">
        <v>0</v>
      </c>
      <c r="U41" s="102" t="n">
        <v>0</v>
      </c>
      <c r="V41" s="102" t="n">
        <v>0.22</v>
      </c>
    </row>
    <row r="42" ht="18" customHeight="1" s="28">
      <c r="A42" s="104" t="inlineStr">
        <is>
          <t>FX shock (import-heavy company)</t>
        </is>
      </c>
      <c r="B42" s="104" t="inlineStr">
        <is>
          <t>Severe</t>
        </is>
      </c>
      <c r="C42" s="104" t="inlineStr">
        <is>
          <t>FX shock (import-heavy company) | Severe</t>
        </is>
      </c>
      <c r="D42" s="93" t="inlineStr">
        <is>
          <t>Local currency weakens -&gt; import costs rise -&gt; margin shrinks -&gt; pricing lags -&gt; profitability deteriorates.</t>
        </is>
      </c>
      <c r="E42" s="105" t="n">
        <v>-0.05</v>
      </c>
      <c r="F42" s="106" t="n">
        <v>-400</v>
      </c>
      <c r="G42" s="105" t="n">
        <v>0</v>
      </c>
      <c r="H42" s="105" t="n">
        <v>0</v>
      </c>
      <c r="I42" s="106" t="n">
        <v>0</v>
      </c>
      <c r="J42" s="106" t="n">
        <v>15</v>
      </c>
      <c r="K42" s="106" t="n">
        <v>3</v>
      </c>
      <c r="L42" s="106" t="n">
        <v>150</v>
      </c>
      <c r="M42" s="105" t="n">
        <v>0.95</v>
      </c>
      <c r="N42" s="105" t="n">
        <v>0.1</v>
      </c>
      <c r="O42" s="105" t="n">
        <v>0.9</v>
      </c>
      <c r="P42" s="105" t="n">
        <v>0.1</v>
      </c>
      <c r="Q42" s="105" t="n">
        <v>0.25</v>
      </c>
      <c r="R42" s="105" t="n">
        <v>0.5</v>
      </c>
      <c r="S42" s="105" t="n">
        <v>0</v>
      </c>
      <c r="T42" s="105" t="n">
        <v>0</v>
      </c>
      <c r="U42" s="105" t="n">
        <v>0</v>
      </c>
      <c r="V42" s="105" t="n">
        <v>0.2</v>
      </c>
    </row>
    <row r="43" ht="18" customHeight="1" s="28">
      <c r="A43" s="98" t="inlineStr">
        <is>
          <t>FX shock (export-heavy company)</t>
        </is>
      </c>
      <c r="B43" s="98" t="inlineStr">
        <is>
          <t>Light</t>
        </is>
      </c>
      <c r="C43" s="98" t="inlineStr">
        <is>
          <t>FX shock (export-heavy company) | Light</t>
        </is>
      </c>
      <c r="D43" s="91" t="inlineStr">
        <is>
          <t>Currency strengthens -&gt; export competitiveness falls -&gt; utilization weakens -&gt; revenue and margins drift lower.</t>
        </is>
      </c>
      <c r="E43" s="99" t="n">
        <v>-0.05</v>
      </c>
      <c r="F43" s="100" t="n">
        <v>-100</v>
      </c>
      <c r="G43" s="99" t="n">
        <v>0</v>
      </c>
      <c r="H43" s="99" t="n">
        <v>0</v>
      </c>
      <c r="I43" s="100" t="n">
        <v>2</v>
      </c>
      <c r="J43" s="100" t="n">
        <v>2</v>
      </c>
      <c r="K43" s="100" t="n">
        <v>0</v>
      </c>
      <c r="L43" s="100" t="n">
        <v>50</v>
      </c>
      <c r="M43" s="99" t="n">
        <v>1</v>
      </c>
      <c r="N43" s="99" t="n">
        <v>0.08</v>
      </c>
      <c r="O43" s="99" t="n">
        <v>0.98</v>
      </c>
      <c r="P43" s="99" t="n">
        <v>0.05</v>
      </c>
      <c r="Q43" s="99" t="n">
        <v>0</v>
      </c>
      <c r="R43" s="99" t="n">
        <v>0</v>
      </c>
      <c r="S43" s="99" t="n">
        <v>0</v>
      </c>
      <c r="T43" s="99" t="n">
        <v>0</v>
      </c>
      <c r="U43" s="99" t="n">
        <v>0</v>
      </c>
      <c r="V43" s="99" t="n">
        <v>0.23</v>
      </c>
    </row>
    <row r="44" ht="18" customHeight="1" s="28">
      <c r="A44" s="101" t="inlineStr">
        <is>
          <t>FX shock (export-heavy company)</t>
        </is>
      </c>
      <c r="B44" s="101" t="inlineStr">
        <is>
          <t>Base</t>
        </is>
      </c>
      <c r="C44" s="101" t="inlineStr">
        <is>
          <t>FX shock (export-heavy company) | Base</t>
        </is>
      </c>
      <c r="D44" s="92" t="inlineStr">
        <is>
          <t>Currency strengthens -&gt; export competitiveness falls -&gt; utilization weakens -&gt; revenue and margins drift lower.</t>
        </is>
      </c>
      <c r="E44" s="102" t="n">
        <v>-0.1</v>
      </c>
      <c r="F44" s="103" t="n">
        <v>-200</v>
      </c>
      <c r="G44" s="102" t="n">
        <v>0</v>
      </c>
      <c r="H44" s="102" t="n">
        <v>0</v>
      </c>
      <c r="I44" s="103" t="n">
        <v>4</v>
      </c>
      <c r="J44" s="103" t="n">
        <v>5</v>
      </c>
      <c r="K44" s="103" t="n">
        <v>-1</v>
      </c>
      <c r="L44" s="103" t="n">
        <v>75</v>
      </c>
      <c r="M44" s="102" t="n">
        <v>0.98</v>
      </c>
      <c r="N44" s="102" t="n">
        <v>0.08</v>
      </c>
      <c r="O44" s="102" t="n">
        <v>0.95</v>
      </c>
      <c r="P44" s="102" t="n">
        <v>0.1</v>
      </c>
      <c r="Q44" s="102" t="n">
        <v>0.25</v>
      </c>
      <c r="R44" s="102" t="n">
        <v>0.5</v>
      </c>
      <c r="S44" s="102" t="n">
        <v>0</v>
      </c>
      <c r="T44" s="102" t="n">
        <v>0</v>
      </c>
      <c r="U44" s="102" t="n">
        <v>0</v>
      </c>
      <c r="V44" s="102" t="n">
        <v>0.22</v>
      </c>
    </row>
    <row r="45" ht="18" customHeight="1" s="28">
      <c r="A45" s="104" t="inlineStr">
        <is>
          <t>FX shock (export-heavy company)</t>
        </is>
      </c>
      <c r="B45" s="104" t="inlineStr">
        <is>
          <t>Severe</t>
        </is>
      </c>
      <c r="C45" s="104" t="inlineStr">
        <is>
          <t>FX shock (export-heavy company) | Severe</t>
        </is>
      </c>
      <c r="D45" s="93" t="inlineStr">
        <is>
          <t>Currency strengthens -&gt; export competitiveness falls -&gt; utilization weakens -&gt; revenue and margins drift lower.</t>
        </is>
      </c>
      <c r="E45" s="105" t="n">
        <v>-0.15</v>
      </c>
      <c r="F45" s="106" t="n">
        <v>-300</v>
      </c>
      <c r="G45" s="105" t="n">
        <v>0</v>
      </c>
      <c r="H45" s="105" t="n">
        <v>0</v>
      </c>
      <c r="I45" s="106" t="n">
        <v>6</v>
      </c>
      <c r="J45" s="106" t="n">
        <v>10</v>
      </c>
      <c r="K45" s="106" t="n">
        <v>-2</v>
      </c>
      <c r="L45" s="106" t="n">
        <v>100</v>
      </c>
      <c r="M45" s="105" t="n">
        <v>0.95</v>
      </c>
      <c r="N45" s="105" t="n">
        <v>0.1</v>
      </c>
      <c r="O45" s="105" t="n">
        <v>0.9</v>
      </c>
      <c r="P45" s="105" t="n">
        <v>0.15</v>
      </c>
      <c r="Q45" s="105" t="n">
        <v>0.5</v>
      </c>
      <c r="R45" s="105" t="n">
        <v>1</v>
      </c>
      <c r="S45" s="105" t="n">
        <v>0</v>
      </c>
      <c r="T45" s="105" t="n">
        <v>0</v>
      </c>
      <c r="U45" s="105" t="n">
        <v>0</v>
      </c>
      <c r="V45" s="105" t="n">
        <v>0.2</v>
      </c>
    </row>
    <row r="46" ht="18" customHeight="1" s="28">
      <c r="A46" s="98" t="inlineStr">
        <is>
          <t>Regulatory shock</t>
        </is>
      </c>
      <c r="B46" s="98" t="inlineStr">
        <is>
          <t>Light</t>
        </is>
      </c>
      <c r="C46" s="98" t="inlineStr">
        <is>
          <t>Regulatory shock | Light</t>
        </is>
      </c>
      <c r="D46" s="91" t="inlineStr">
        <is>
          <t>New regulation arrives -&gt; compliance cost and redesign spending rise -&gt; capex and opex increase -&gt; margins and growth slow.</t>
        </is>
      </c>
      <c r="E46" s="99" t="n">
        <v>-0.02</v>
      </c>
      <c r="F46" s="100" t="n">
        <v>-50</v>
      </c>
      <c r="G46" s="99" t="n">
        <v>0</v>
      </c>
      <c r="H46" s="99" t="n">
        <v>0.03</v>
      </c>
      <c r="I46" s="100" t="n">
        <v>1</v>
      </c>
      <c r="J46" s="100" t="n">
        <v>0</v>
      </c>
      <c r="K46" s="100" t="n">
        <v>0</v>
      </c>
      <c r="L46" s="100" t="n">
        <v>50</v>
      </c>
      <c r="M46" s="99" t="n">
        <v>1</v>
      </c>
      <c r="N46" s="99" t="n">
        <v>0.08</v>
      </c>
      <c r="O46" s="99" t="n">
        <v>0.98</v>
      </c>
      <c r="P46" s="99" t="n">
        <v>-0.05</v>
      </c>
      <c r="Q46" s="99" t="n">
        <v>0</v>
      </c>
      <c r="R46" s="99" t="n">
        <v>0</v>
      </c>
      <c r="S46" s="99" t="n">
        <v>0</v>
      </c>
      <c r="T46" s="99" t="n">
        <v>0</v>
      </c>
      <c r="U46" s="99" t="n">
        <v>0</v>
      </c>
      <c r="V46" s="99" t="n">
        <v>0.23</v>
      </c>
    </row>
    <row r="47" ht="18" customHeight="1" s="28">
      <c r="A47" s="101" t="inlineStr">
        <is>
          <t>Regulatory shock</t>
        </is>
      </c>
      <c r="B47" s="101" t="inlineStr">
        <is>
          <t>Base</t>
        </is>
      </c>
      <c r="C47" s="101" t="inlineStr">
        <is>
          <t>Regulatory shock | Base</t>
        </is>
      </c>
      <c r="D47" s="92" t="inlineStr">
        <is>
          <t>New regulation arrives -&gt; compliance cost and redesign spending rise -&gt; capex and opex increase -&gt; margins and growth slow.</t>
        </is>
      </c>
      <c r="E47" s="102" t="n">
        <v>-0.05</v>
      </c>
      <c r="F47" s="103" t="n">
        <v>-150</v>
      </c>
      <c r="G47" s="102" t="n">
        <v>0</v>
      </c>
      <c r="H47" s="102" t="n">
        <v>0.06</v>
      </c>
      <c r="I47" s="103" t="n">
        <v>2</v>
      </c>
      <c r="J47" s="103" t="n">
        <v>0</v>
      </c>
      <c r="K47" s="103" t="n">
        <v>0</v>
      </c>
      <c r="L47" s="103" t="n">
        <v>100</v>
      </c>
      <c r="M47" s="102" t="n">
        <v>0.98</v>
      </c>
      <c r="N47" s="102" t="n">
        <v>0.08</v>
      </c>
      <c r="O47" s="102" t="n">
        <v>0.95</v>
      </c>
      <c r="P47" s="102" t="n">
        <v>-0.1</v>
      </c>
      <c r="Q47" s="102" t="n">
        <v>0.25</v>
      </c>
      <c r="R47" s="102" t="n">
        <v>0.5</v>
      </c>
      <c r="S47" s="102" t="n">
        <v>0</v>
      </c>
      <c r="T47" s="102" t="n">
        <v>0</v>
      </c>
      <c r="U47" s="102" t="n">
        <v>0</v>
      </c>
      <c r="V47" s="102" t="n">
        <v>0.21</v>
      </c>
    </row>
    <row r="48" ht="18" customHeight="1" s="28">
      <c r="A48" s="104" t="inlineStr">
        <is>
          <t>Regulatory shock</t>
        </is>
      </c>
      <c r="B48" s="104" t="inlineStr">
        <is>
          <t>Severe</t>
        </is>
      </c>
      <c r="C48" s="104" t="inlineStr">
        <is>
          <t>Regulatory shock | Severe</t>
        </is>
      </c>
      <c r="D48" s="93" t="inlineStr">
        <is>
          <t>New regulation arrives -&gt; compliance cost and redesign spending rise -&gt; capex and opex increase -&gt; margins and growth slow.</t>
        </is>
      </c>
      <c r="E48" s="105" t="n">
        <v>-0.1</v>
      </c>
      <c r="F48" s="106" t="n">
        <v>-250</v>
      </c>
      <c r="G48" s="105" t="n">
        <v>0</v>
      </c>
      <c r="H48" s="105" t="n">
        <v>0.1</v>
      </c>
      <c r="I48" s="106" t="n">
        <v>5</v>
      </c>
      <c r="J48" s="106" t="n">
        <v>3</v>
      </c>
      <c r="K48" s="106" t="n">
        <v>-1</v>
      </c>
      <c r="L48" s="106" t="n">
        <v>150</v>
      </c>
      <c r="M48" s="105" t="n">
        <v>0.95</v>
      </c>
      <c r="N48" s="105" t="n">
        <v>0.1</v>
      </c>
      <c r="O48" s="105" t="n">
        <v>0.85</v>
      </c>
      <c r="P48" s="105" t="n">
        <v>-0.15</v>
      </c>
      <c r="Q48" s="105" t="n">
        <v>0.5</v>
      </c>
      <c r="R48" s="105" t="n">
        <v>1</v>
      </c>
      <c r="S48" s="105" t="n">
        <v>0</v>
      </c>
      <c r="T48" s="105" t="n">
        <v>0.03</v>
      </c>
      <c r="U48" s="105" t="n">
        <v>0</v>
      </c>
      <c r="V48" s="105" t="n">
        <v>0.18</v>
      </c>
    </row>
    <row r="49" ht="18" customHeight="1" s="28">
      <c r="A49" s="98" t="inlineStr">
        <is>
          <t>Litigation / fine event</t>
        </is>
      </c>
      <c r="B49" s="98" t="inlineStr">
        <is>
          <t>Light</t>
        </is>
      </c>
      <c r="C49" s="98" t="inlineStr">
        <is>
          <t>Litigation / fine event | Light</t>
        </is>
      </c>
      <c r="D49" s="91" t="inlineStr">
        <is>
          <t>Large fine or settlement hits -&gt; cash falls -&gt; leverage rises -&gt; rating and refinancing pressure increase.</t>
        </is>
      </c>
      <c r="E49" s="99" t="n">
        <v>0</v>
      </c>
      <c r="F49" s="100" t="n">
        <v>0</v>
      </c>
      <c r="G49" s="99" t="n">
        <v>0</v>
      </c>
      <c r="H49" s="99" t="n">
        <v>0</v>
      </c>
      <c r="I49" s="100" t="n">
        <v>0</v>
      </c>
      <c r="J49" s="100" t="n">
        <v>0</v>
      </c>
      <c r="K49" s="100" t="n">
        <v>0</v>
      </c>
      <c r="L49" s="100" t="n">
        <v>50</v>
      </c>
      <c r="M49" s="99" t="n">
        <v>1</v>
      </c>
      <c r="N49" s="99" t="n">
        <v>0.08</v>
      </c>
      <c r="O49" s="99" t="n">
        <v>0.98</v>
      </c>
      <c r="P49" s="99" t="n">
        <v>0</v>
      </c>
      <c r="Q49" s="99" t="n">
        <v>0</v>
      </c>
      <c r="R49" s="99" t="n">
        <v>0</v>
      </c>
      <c r="S49" s="99" t="n">
        <v>0</v>
      </c>
      <c r="T49" s="99" t="n">
        <v>0</v>
      </c>
      <c r="U49" s="99" t="n">
        <v>0.02</v>
      </c>
      <c r="V49" s="99" t="n">
        <v>0.24</v>
      </c>
    </row>
    <row r="50" ht="18" customHeight="1" s="28">
      <c r="A50" s="101" t="inlineStr">
        <is>
          <t>Litigation / fine event</t>
        </is>
      </c>
      <c r="B50" s="101" t="inlineStr">
        <is>
          <t>Base</t>
        </is>
      </c>
      <c r="C50" s="101" t="inlineStr">
        <is>
          <t>Litigation / fine event | Base</t>
        </is>
      </c>
      <c r="D50" s="92" t="inlineStr">
        <is>
          <t>Large fine or settlement hits -&gt; cash falls -&gt; leverage rises -&gt; rating and refinancing pressure increase.</t>
        </is>
      </c>
      <c r="E50" s="102" t="n">
        <v>-0.02</v>
      </c>
      <c r="F50" s="103" t="n">
        <v>0</v>
      </c>
      <c r="G50" s="102" t="n">
        <v>0</v>
      </c>
      <c r="H50" s="102" t="n">
        <v>0</v>
      </c>
      <c r="I50" s="103" t="n">
        <v>0</v>
      </c>
      <c r="J50" s="103" t="n">
        <v>0</v>
      </c>
      <c r="K50" s="103" t="n">
        <v>0</v>
      </c>
      <c r="L50" s="103" t="n">
        <v>100</v>
      </c>
      <c r="M50" s="102" t="n">
        <v>0.95</v>
      </c>
      <c r="N50" s="102" t="n">
        <v>0.1</v>
      </c>
      <c r="O50" s="102" t="n">
        <v>0.9</v>
      </c>
      <c r="P50" s="102" t="n">
        <v>0.1</v>
      </c>
      <c r="Q50" s="102" t="n">
        <v>0.25</v>
      </c>
      <c r="R50" s="102" t="n">
        <v>0.5</v>
      </c>
      <c r="S50" s="102" t="n">
        <v>0</v>
      </c>
      <c r="T50" s="102" t="n">
        <v>0</v>
      </c>
      <c r="U50" s="102" t="n">
        <v>0.05</v>
      </c>
      <c r="V50" s="102" t="n">
        <v>0.22</v>
      </c>
    </row>
    <row r="51" ht="18" customHeight="1" s="28">
      <c r="A51" s="104" t="inlineStr">
        <is>
          <t>Litigation / fine event</t>
        </is>
      </c>
      <c r="B51" s="104" t="inlineStr">
        <is>
          <t>Severe</t>
        </is>
      </c>
      <c r="C51" s="104" t="inlineStr">
        <is>
          <t>Litigation / fine event | Severe</t>
        </is>
      </c>
      <c r="D51" s="93" t="inlineStr">
        <is>
          <t>Large fine or settlement hits -&gt; cash falls -&gt; leverage rises -&gt; rating and refinancing pressure increase.</t>
        </is>
      </c>
      <c r="E51" s="105" t="n">
        <v>-0.05</v>
      </c>
      <c r="F51" s="106" t="n">
        <v>-50</v>
      </c>
      <c r="G51" s="105" t="n">
        <v>0</v>
      </c>
      <c r="H51" s="105" t="n">
        <v>0</v>
      </c>
      <c r="I51" s="106" t="n">
        <v>0</v>
      </c>
      <c r="J51" s="106" t="n">
        <v>0</v>
      </c>
      <c r="K51" s="106" t="n">
        <v>0</v>
      </c>
      <c r="L51" s="106" t="n">
        <v>150</v>
      </c>
      <c r="M51" s="105" t="n">
        <v>0.9</v>
      </c>
      <c r="N51" s="105" t="n">
        <v>0.12</v>
      </c>
      <c r="O51" s="105" t="n">
        <v>0.75</v>
      </c>
      <c r="P51" s="105" t="n">
        <v>0.2</v>
      </c>
      <c r="Q51" s="105" t="n">
        <v>0.5</v>
      </c>
      <c r="R51" s="105" t="n">
        <v>1</v>
      </c>
      <c r="S51" s="105" t="n">
        <v>0</v>
      </c>
      <c r="T51" s="105" t="n">
        <v>0.03</v>
      </c>
      <c r="U51" s="105" t="n">
        <v>0.1</v>
      </c>
      <c r="V51" s="105" t="n">
        <v>0.2</v>
      </c>
    </row>
    <row r="52" ht="18" customHeight="1" s="28">
      <c r="A52" s="98" t="inlineStr">
        <is>
          <t>Operational disruption</t>
        </is>
      </c>
      <c r="B52" s="98" t="inlineStr">
        <is>
          <t>Light</t>
        </is>
      </c>
      <c r="C52" s="98" t="inlineStr">
        <is>
          <t>Operational disruption | Light</t>
        </is>
      </c>
      <c r="D52" s="91" t="inlineStr">
        <is>
          <t>Plant shutdown or supply disruption hits production -&gt; revenue falls while fixed costs stay -&gt; margin collapses -&gt; cash burn follows.</t>
        </is>
      </c>
      <c r="E52" s="99" t="n">
        <v>-0.08</v>
      </c>
      <c r="F52" s="100" t="n">
        <v>-150</v>
      </c>
      <c r="G52" s="99" t="n">
        <v>0</v>
      </c>
      <c r="H52" s="99" t="n">
        <v>0.01</v>
      </c>
      <c r="I52" s="100" t="n">
        <v>2</v>
      </c>
      <c r="J52" s="100" t="n">
        <v>5</v>
      </c>
      <c r="K52" s="100" t="n">
        <v>0</v>
      </c>
      <c r="L52" s="100" t="n">
        <v>75</v>
      </c>
      <c r="M52" s="99" t="n">
        <v>0.98</v>
      </c>
      <c r="N52" s="99" t="n">
        <v>0.08</v>
      </c>
      <c r="O52" s="99" t="n">
        <v>0.95</v>
      </c>
      <c r="P52" s="99" t="n">
        <v>0</v>
      </c>
      <c r="Q52" s="99" t="n">
        <v>0</v>
      </c>
      <c r="R52" s="99" t="n">
        <v>0</v>
      </c>
      <c r="S52" s="99" t="n">
        <v>0</v>
      </c>
      <c r="T52" s="99" t="n">
        <v>0</v>
      </c>
      <c r="U52" s="99" t="n">
        <v>0.01</v>
      </c>
      <c r="V52" s="99" t="n">
        <v>0.22</v>
      </c>
    </row>
    <row r="53" ht="18" customHeight="1" s="28">
      <c r="A53" s="101" t="inlineStr">
        <is>
          <t>Operational disruption</t>
        </is>
      </c>
      <c r="B53" s="101" t="inlineStr">
        <is>
          <t>Base</t>
        </is>
      </c>
      <c r="C53" s="101" t="inlineStr">
        <is>
          <t>Operational disruption | Base</t>
        </is>
      </c>
      <c r="D53" s="92" t="inlineStr">
        <is>
          <t>Plant shutdown or supply disruption hits production -&gt; revenue falls while fixed costs stay -&gt; margin collapses -&gt; cash burn follows.</t>
        </is>
      </c>
      <c r="E53" s="102" t="n">
        <v>-0.15</v>
      </c>
      <c r="F53" s="103" t="n">
        <v>-300</v>
      </c>
      <c r="G53" s="102" t="n">
        <v>0</v>
      </c>
      <c r="H53" s="102" t="n">
        <v>0.03</v>
      </c>
      <c r="I53" s="103" t="n">
        <v>5</v>
      </c>
      <c r="J53" s="103" t="n">
        <v>10</v>
      </c>
      <c r="K53" s="103" t="n">
        <v>-2</v>
      </c>
      <c r="L53" s="103" t="n">
        <v>150</v>
      </c>
      <c r="M53" s="102" t="n">
        <v>0.9</v>
      </c>
      <c r="N53" s="102" t="n">
        <v>0.1</v>
      </c>
      <c r="O53" s="102" t="n">
        <v>0.85</v>
      </c>
      <c r="P53" s="102" t="n">
        <v>0.1</v>
      </c>
      <c r="Q53" s="102" t="n">
        <v>0.25</v>
      </c>
      <c r="R53" s="102" t="n">
        <v>0.75</v>
      </c>
      <c r="S53" s="102" t="n">
        <v>0</v>
      </c>
      <c r="T53" s="102" t="n">
        <v>0</v>
      </c>
      <c r="U53" s="102" t="n">
        <v>0.03</v>
      </c>
      <c r="V53" s="102" t="n">
        <v>0.2</v>
      </c>
    </row>
    <row r="54" ht="18" customHeight="1" s="28">
      <c r="A54" s="104" t="inlineStr">
        <is>
          <t>Operational disruption</t>
        </is>
      </c>
      <c r="B54" s="104" t="inlineStr">
        <is>
          <t>Severe</t>
        </is>
      </c>
      <c r="C54" s="104" t="inlineStr">
        <is>
          <t>Operational disruption | Severe</t>
        </is>
      </c>
      <c r="D54" s="93" t="inlineStr">
        <is>
          <t>Plant shutdown or supply disruption hits production -&gt; revenue falls while fixed costs stay -&gt; margin collapses -&gt; cash burn follows.</t>
        </is>
      </c>
      <c r="E54" s="105" t="n">
        <v>-0.25</v>
      </c>
      <c r="F54" s="106" t="n">
        <v>-500</v>
      </c>
      <c r="G54" s="105" t="n">
        <v>0</v>
      </c>
      <c r="H54" s="105" t="n">
        <v>0.05</v>
      </c>
      <c r="I54" s="106" t="n">
        <v>8</v>
      </c>
      <c r="J54" s="106" t="n">
        <v>15</v>
      </c>
      <c r="K54" s="106" t="n">
        <v>-4</v>
      </c>
      <c r="L54" s="106" t="n">
        <v>200</v>
      </c>
      <c r="M54" s="105" t="n">
        <v>0.8</v>
      </c>
      <c r="N54" s="105" t="n">
        <v>0.12</v>
      </c>
      <c r="O54" s="105" t="n">
        <v>0.7</v>
      </c>
      <c r="P54" s="105" t="n">
        <v>0.2</v>
      </c>
      <c r="Q54" s="105" t="n">
        <v>0.5</v>
      </c>
      <c r="R54" s="105" t="n">
        <v>1</v>
      </c>
      <c r="S54" s="105" t="n">
        <v>0.03</v>
      </c>
      <c r="T54" s="105" t="n">
        <v>0</v>
      </c>
      <c r="U54" s="105" t="n">
        <v>0.05</v>
      </c>
      <c r="V54" s="105" t="n">
        <v>0.18</v>
      </c>
    </row>
    <row r="55" ht="18" customHeight="1" s="28">
      <c r="A55" s="98" t="inlineStr">
        <is>
          <t>Supplier failure</t>
        </is>
      </c>
      <c r="B55" s="98" t="inlineStr">
        <is>
          <t>Light</t>
        </is>
      </c>
      <c r="C55" s="98" t="inlineStr">
        <is>
          <t>Supplier failure | Light</t>
        </is>
      </c>
      <c r="D55" s="91" t="inlineStr">
        <is>
          <t>Key supplier fails -&gt; input shortage cuts production -&gt; urgent sourcing costs more -&gt; margins and cash generation weaken.</t>
        </is>
      </c>
      <c r="E55" s="99" t="n">
        <v>-0.05</v>
      </c>
      <c r="F55" s="100" t="n">
        <v>-100</v>
      </c>
      <c r="G55" s="99" t="n">
        <v>0</v>
      </c>
      <c r="H55" s="99" t="n">
        <v>0.01</v>
      </c>
      <c r="I55" s="100" t="n">
        <v>1</v>
      </c>
      <c r="J55" s="100" t="n">
        <v>5</v>
      </c>
      <c r="K55" s="100" t="n">
        <v>0</v>
      </c>
      <c r="L55" s="100" t="n">
        <v>50</v>
      </c>
      <c r="M55" s="99" t="n">
        <v>0.98</v>
      </c>
      <c r="N55" s="99" t="n">
        <v>0.08</v>
      </c>
      <c r="O55" s="99" t="n">
        <v>0.95</v>
      </c>
      <c r="P55" s="99" t="n">
        <v>0</v>
      </c>
      <c r="Q55" s="99" t="n">
        <v>0</v>
      </c>
      <c r="R55" s="99" t="n">
        <v>0</v>
      </c>
      <c r="S55" s="99" t="n">
        <v>0</v>
      </c>
      <c r="T55" s="99" t="n">
        <v>0</v>
      </c>
      <c r="U55" s="99" t="n">
        <v>0</v>
      </c>
      <c r="V55" s="99" t="n">
        <v>0.22</v>
      </c>
    </row>
    <row r="56" ht="18" customHeight="1" s="28">
      <c r="A56" s="101" t="inlineStr">
        <is>
          <t>Supplier failure</t>
        </is>
      </c>
      <c r="B56" s="101" t="inlineStr">
        <is>
          <t>Base</t>
        </is>
      </c>
      <c r="C56" s="101" t="inlineStr">
        <is>
          <t>Supplier failure | Base</t>
        </is>
      </c>
      <c r="D56" s="92" t="inlineStr">
        <is>
          <t>Key supplier fails -&gt; input shortage cuts production -&gt; urgent sourcing costs more -&gt; margins and cash generation weaken.</t>
        </is>
      </c>
      <c r="E56" s="102" t="n">
        <v>-0.1</v>
      </c>
      <c r="F56" s="103" t="n">
        <v>-200</v>
      </c>
      <c r="G56" s="102" t="n">
        <v>0</v>
      </c>
      <c r="H56" s="102" t="n">
        <v>0.02</v>
      </c>
      <c r="I56" s="103" t="n">
        <v>3</v>
      </c>
      <c r="J56" s="103" t="n">
        <v>10</v>
      </c>
      <c r="K56" s="103" t="n">
        <v>-2</v>
      </c>
      <c r="L56" s="103" t="n">
        <v>100</v>
      </c>
      <c r="M56" s="102" t="n">
        <v>0.95</v>
      </c>
      <c r="N56" s="102" t="n">
        <v>0.1</v>
      </c>
      <c r="O56" s="102" t="n">
        <v>0.9</v>
      </c>
      <c r="P56" s="102" t="n">
        <v>0.05</v>
      </c>
      <c r="Q56" s="102" t="n">
        <v>0.25</v>
      </c>
      <c r="R56" s="102" t="n">
        <v>0.5</v>
      </c>
      <c r="S56" s="102" t="n">
        <v>0</v>
      </c>
      <c r="T56" s="102" t="n">
        <v>0</v>
      </c>
      <c r="U56" s="102" t="n">
        <v>0</v>
      </c>
      <c r="V56" s="102" t="n">
        <v>0.2</v>
      </c>
    </row>
    <row r="57" ht="18" customHeight="1" s="28">
      <c r="A57" s="104" t="inlineStr">
        <is>
          <t>Supplier failure</t>
        </is>
      </c>
      <c r="B57" s="104" t="inlineStr">
        <is>
          <t>Severe</t>
        </is>
      </c>
      <c r="C57" s="104" t="inlineStr">
        <is>
          <t>Supplier failure | Severe</t>
        </is>
      </c>
      <c r="D57" s="93" t="inlineStr">
        <is>
          <t>Key supplier fails -&gt; input shortage cuts production -&gt; urgent sourcing costs more -&gt; margins and cash generation weaken.</t>
        </is>
      </c>
      <c r="E57" s="105" t="n">
        <v>-0.2</v>
      </c>
      <c r="F57" s="106" t="n">
        <v>-350</v>
      </c>
      <c r="G57" s="105" t="n">
        <v>0</v>
      </c>
      <c r="H57" s="105" t="n">
        <v>0.04</v>
      </c>
      <c r="I57" s="106" t="n">
        <v>5</v>
      </c>
      <c r="J57" s="106" t="n">
        <v>20</v>
      </c>
      <c r="K57" s="106" t="n">
        <v>-4</v>
      </c>
      <c r="L57" s="106" t="n">
        <v>150</v>
      </c>
      <c r="M57" s="105" t="n">
        <v>0.85</v>
      </c>
      <c r="N57" s="105" t="n">
        <v>0.12</v>
      </c>
      <c r="O57" s="105" t="n">
        <v>0.75</v>
      </c>
      <c r="P57" s="105" t="n">
        <v>0.1</v>
      </c>
      <c r="Q57" s="105" t="n">
        <v>0.5</v>
      </c>
      <c r="R57" s="105" t="n">
        <v>1</v>
      </c>
      <c r="S57" s="105" t="n">
        <v>0</v>
      </c>
      <c r="T57" s="105" t="n">
        <v>0</v>
      </c>
      <c r="U57" s="105" t="n">
        <v>0.02</v>
      </c>
      <c r="V57" s="105" t="n">
        <v>0.18</v>
      </c>
    </row>
    <row r="58" ht="18" customHeight="1" s="28">
      <c r="A58" s="98" t="inlineStr">
        <is>
          <t>Technology disruption</t>
        </is>
      </c>
      <c r="B58" s="98" t="inlineStr">
        <is>
          <t>Light</t>
        </is>
      </c>
      <c r="C58" s="98" t="inlineStr">
        <is>
          <t>Technology disruption | Light</t>
        </is>
      </c>
      <c r="D58" s="91" t="inlineStr">
        <is>
          <t>New technology changes the market -&gt; pricing pressure rises -&gt; share is lost -&gt; earnings power erodes over time.</t>
        </is>
      </c>
      <c r="E58" s="99" t="n">
        <v>-0.05</v>
      </c>
      <c r="F58" s="100" t="n">
        <v>-100</v>
      </c>
      <c r="G58" s="99" t="n">
        <v>0.02</v>
      </c>
      <c r="H58" s="99" t="n">
        <v>0.01</v>
      </c>
      <c r="I58" s="100" t="n">
        <v>0</v>
      </c>
      <c r="J58" s="100" t="n">
        <v>0</v>
      </c>
      <c r="K58" s="100" t="n">
        <v>0</v>
      </c>
      <c r="L58" s="100" t="n">
        <v>50</v>
      </c>
      <c r="M58" s="99" t="n">
        <v>1</v>
      </c>
      <c r="N58" s="99" t="n">
        <v>0.08</v>
      </c>
      <c r="O58" s="99" t="n">
        <v>0.98</v>
      </c>
      <c r="P58" s="99" t="n">
        <v>0</v>
      </c>
      <c r="Q58" s="99" t="n">
        <v>0</v>
      </c>
      <c r="R58" s="99" t="n">
        <v>0</v>
      </c>
      <c r="S58" s="99" t="n">
        <v>0</v>
      </c>
      <c r="T58" s="99" t="n">
        <v>0.02</v>
      </c>
      <c r="U58" s="99" t="n">
        <v>0</v>
      </c>
      <c r="V58" s="99" t="n">
        <v>0.23</v>
      </c>
    </row>
    <row r="59" ht="18" customHeight="1" s="28">
      <c r="A59" s="101" t="inlineStr">
        <is>
          <t>Technology disruption</t>
        </is>
      </c>
      <c r="B59" s="101" t="inlineStr">
        <is>
          <t>Base</t>
        </is>
      </c>
      <c r="C59" s="101" t="inlineStr">
        <is>
          <t>Technology disruption | Base</t>
        </is>
      </c>
      <c r="D59" s="92" t="inlineStr">
        <is>
          <t>New technology changes the market -&gt; pricing pressure rises -&gt; share is lost -&gt; earnings power erodes over time.</t>
        </is>
      </c>
      <c r="E59" s="102" t="n">
        <v>-0.1</v>
      </c>
      <c r="F59" s="103" t="n">
        <v>-200</v>
      </c>
      <c r="G59" s="102" t="n">
        <v>0.04</v>
      </c>
      <c r="H59" s="102" t="n">
        <v>0.02</v>
      </c>
      <c r="I59" s="103" t="n">
        <v>0</v>
      </c>
      <c r="J59" s="103" t="n">
        <v>0</v>
      </c>
      <c r="K59" s="103" t="n">
        <v>0</v>
      </c>
      <c r="L59" s="103" t="n">
        <v>100</v>
      </c>
      <c r="M59" s="102" t="n">
        <v>0.98</v>
      </c>
      <c r="N59" s="102" t="n">
        <v>0.08</v>
      </c>
      <c r="O59" s="102" t="n">
        <v>0.95</v>
      </c>
      <c r="P59" s="102" t="n">
        <v>0</v>
      </c>
      <c r="Q59" s="102" t="n">
        <v>0.25</v>
      </c>
      <c r="R59" s="102" t="n">
        <v>0.5</v>
      </c>
      <c r="S59" s="102" t="n">
        <v>0</v>
      </c>
      <c r="T59" s="102" t="n">
        <v>0.05</v>
      </c>
      <c r="U59" s="102" t="n">
        <v>0</v>
      </c>
      <c r="V59" s="102" t="n">
        <v>0.21</v>
      </c>
    </row>
    <row r="60" ht="18" customHeight="1" s="28">
      <c r="A60" s="104" t="inlineStr">
        <is>
          <t>Technology disruption</t>
        </is>
      </c>
      <c r="B60" s="104" t="inlineStr">
        <is>
          <t>Severe</t>
        </is>
      </c>
      <c r="C60" s="104" t="inlineStr">
        <is>
          <t>Technology disruption | Severe</t>
        </is>
      </c>
      <c r="D60" s="93" t="inlineStr">
        <is>
          <t>New technology changes the market -&gt; pricing pressure rises -&gt; share is lost -&gt; earnings power erodes over time.</t>
        </is>
      </c>
      <c r="E60" s="105" t="n">
        <v>-0.2</v>
      </c>
      <c r="F60" s="106" t="n">
        <v>-350</v>
      </c>
      <c r="G60" s="105" t="n">
        <v>0.06</v>
      </c>
      <c r="H60" s="105" t="n">
        <v>0.03</v>
      </c>
      <c r="I60" s="106" t="n">
        <v>2</v>
      </c>
      <c r="J60" s="106" t="n">
        <v>3</v>
      </c>
      <c r="K60" s="106" t="n">
        <v>0</v>
      </c>
      <c r="L60" s="106" t="n">
        <v>150</v>
      </c>
      <c r="M60" s="105" t="n">
        <v>0.95</v>
      </c>
      <c r="N60" s="105" t="n">
        <v>0.1</v>
      </c>
      <c r="O60" s="105" t="n">
        <v>0.85</v>
      </c>
      <c r="P60" s="105" t="n">
        <v>0.05</v>
      </c>
      <c r="Q60" s="105" t="n">
        <v>0.5</v>
      </c>
      <c r="R60" s="105" t="n">
        <v>1</v>
      </c>
      <c r="S60" s="105" t="n">
        <v>0</v>
      </c>
      <c r="T60" s="105" t="n">
        <v>0.1</v>
      </c>
      <c r="U60" s="105" t="n">
        <v>0</v>
      </c>
      <c r="V60" s="105" t="n">
        <v>0.18</v>
      </c>
    </row>
    <row r="61" ht="18" customHeight="1" s="28">
      <c r="A61" s="98" t="inlineStr">
        <is>
          <t>Acquisition gone wrong</t>
        </is>
      </c>
      <c r="B61" s="98" t="inlineStr">
        <is>
          <t>Light</t>
        </is>
      </c>
      <c r="C61" s="98" t="inlineStr">
        <is>
          <t>Acquisition gone wrong | Light</t>
        </is>
      </c>
      <c r="D61" s="91" t="inlineStr">
        <is>
          <t>Debt-funded deal underdelivers -&gt; synergies fail -&gt; leverage stays high -&gt; goodwill gets impaired -&gt; refinancing risk rises.</t>
        </is>
      </c>
      <c r="E61" s="99" t="n">
        <v>0</v>
      </c>
      <c r="F61" s="100" t="n">
        <v>-50</v>
      </c>
      <c r="G61" s="99" t="n">
        <v>0</v>
      </c>
      <c r="H61" s="99" t="n">
        <v>0.02</v>
      </c>
      <c r="I61" s="100" t="n">
        <v>2</v>
      </c>
      <c r="J61" s="100" t="n">
        <v>2</v>
      </c>
      <c r="K61" s="100" t="n">
        <v>0</v>
      </c>
      <c r="L61" s="100" t="n">
        <v>100</v>
      </c>
      <c r="M61" s="99" t="n">
        <v>0.98</v>
      </c>
      <c r="N61" s="99" t="n">
        <v>0.08</v>
      </c>
      <c r="O61" s="99" t="n">
        <v>0.9</v>
      </c>
      <c r="P61" s="99" t="n">
        <v>0.05</v>
      </c>
      <c r="Q61" s="99" t="n">
        <v>0.25</v>
      </c>
      <c r="R61" s="99" t="n">
        <v>1</v>
      </c>
      <c r="S61" s="99" t="n">
        <v>0</v>
      </c>
      <c r="T61" s="99" t="n">
        <v>0.08</v>
      </c>
      <c r="U61" s="99" t="n">
        <v>0</v>
      </c>
      <c r="V61" s="99" t="n">
        <v>0.22</v>
      </c>
    </row>
    <row r="62" ht="18" customHeight="1" s="28">
      <c r="A62" s="101" t="inlineStr">
        <is>
          <t>Acquisition gone wrong</t>
        </is>
      </c>
      <c r="B62" s="101" t="inlineStr">
        <is>
          <t>Base</t>
        </is>
      </c>
      <c r="C62" s="101" t="inlineStr">
        <is>
          <t>Acquisition gone wrong | Base</t>
        </is>
      </c>
      <c r="D62" s="92" t="inlineStr">
        <is>
          <t>Debt-funded deal underdelivers -&gt; synergies fail -&gt; leverage stays high -&gt; goodwill gets impaired -&gt; refinancing risk rises.</t>
        </is>
      </c>
      <c r="E62" s="102" t="n">
        <v>-0.05</v>
      </c>
      <c r="F62" s="103" t="n">
        <v>-100</v>
      </c>
      <c r="G62" s="102" t="n">
        <v>0</v>
      </c>
      <c r="H62" s="102" t="n">
        <v>0.04</v>
      </c>
      <c r="I62" s="103" t="n">
        <v>5</v>
      </c>
      <c r="J62" s="103" t="n">
        <v>5</v>
      </c>
      <c r="K62" s="103" t="n">
        <v>-1</v>
      </c>
      <c r="L62" s="103" t="n">
        <v>150</v>
      </c>
      <c r="M62" s="102" t="n">
        <v>0.9</v>
      </c>
      <c r="N62" s="102" t="n">
        <v>0.1</v>
      </c>
      <c r="O62" s="102" t="n">
        <v>0.75</v>
      </c>
      <c r="P62" s="102" t="n">
        <v>0.1</v>
      </c>
      <c r="Q62" s="102" t="n">
        <v>0.5</v>
      </c>
      <c r="R62" s="102" t="n">
        <v>1</v>
      </c>
      <c r="S62" s="102" t="n">
        <v>0.02</v>
      </c>
      <c r="T62" s="102" t="n">
        <v>0.15</v>
      </c>
      <c r="U62" s="102" t="n">
        <v>0.01</v>
      </c>
      <c r="V62" s="102" t="n">
        <v>0.2</v>
      </c>
    </row>
    <row r="63" ht="18" customHeight="1" s="28">
      <c r="A63" s="104" t="inlineStr">
        <is>
          <t>Acquisition gone wrong</t>
        </is>
      </c>
      <c r="B63" s="104" t="inlineStr">
        <is>
          <t>Severe</t>
        </is>
      </c>
      <c r="C63" s="104" t="inlineStr">
        <is>
          <t>Acquisition gone wrong | Severe</t>
        </is>
      </c>
      <c r="D63" s="93" t="inlineStr">
        <is>
          <t>Debt-funded deal underdelivers -&gt; synergies fail -&gt; leverage stays high -&gt; goodwill gets impaired -&gt; refinancing risk rises.</t>
        </is>
      </c>
      <c r="E63" s="105" t="n">
        <v>-0.1</v>
      </c>
      <c r="F63" s="106" t="n">
        <v>-200</v>
      </c>
      <c r="G63" s="105" t="n">
        <v>0</v>
      </c>
      <c r="H63" s="105" t="n">
        <v>0.06</v>
      </c>
      <c r="I63" s="106" t="n">
        <v>8</v>
      </c>
      <c r="J63" s="106" t="n">
        <v>8</v>
      </c>
      <c r="K63" s="106" t="n">
        <v>-3</v>
      </c>
      <c r="L63" s="106" t="n">
        <v>250</v>
      </c>
      <c r="M63" s="105" t="n">
        <v>0.75</v>
      </c>
      <c r="N63" s="105" t="n">
        <v>0.12</v>
      </c>
      <c r="O63" s="105" t="n">
        <v>0.6</v>
      </c>
      <c r="P63" s="105" t="n">
        <v>0.2</v>
      </c>
      <c r="Q63" s="105" t="n">
        <v>1</v>
      </c>
      <c r="R63" s="105" t="n">
        <v>1</v>
      </c>
      <c r="S63" s="105" t="n">
        <v>0.05</v>
      </c>
      <c r="T63" s="105" t="n">
        <v>0.25</v>
      </c>
      <c r="U63" s="105" t="n">
        <v>0.02</v>
      </c>
      <c r="V63" s="105" t="n">
        <v>0.18</v>
      </c>
    </row>
    <row r="64" ht="18" customHeight="1" s="28">
      <c r="A64" s="98" t="inlineStr">
        <is>
          <t>Full death spiral</t>
        </is>
      </c>
      <c r="B64" s="98" t="inlineStr">
        <is>
          <t>Light</t>
        </is>
      </c>
      <c r="C64" s="98" t="inlineStr">
        <is>
          <t>Full death spiral | Light</t>
        </is>
      </c>
      <c r="D64" s="91" t="inlineStr">
        <is>
          <t>Revenue falls -&gt; margin compresses -&gt; working capital drains cash -&gt; rates rise -&gt; refinancing gets expensive -&gt; liquidity is exhausted.</t>
        </is>
      </c>
      <c r="E64" s="99" t="n">
        <v>-0.1</v>
      </c>
      <c r="F64" s="100" t="n">
        <v>-200</v>
      </c>
      <c r="G64" s="99" t="n">
        <v>-0.01</v>
      </c>
      <c r="H64" s="99" t="n">
        <v>0</v>
      </c>
      <c r="I64" s="100" t="n">
        <v>10</v>
      </c>
      <c r="J64" s="100" t="n">
        <v>10</v>
      </c>
      <c r="K64" s="100" t="n">
        <v>-2</v>
      </c>
      <c r="L64" s="100" t="n">
        <v>200</v>
      </c>
      <c r="M64" s="99" t="n">
        <v>0.8</v>
      </c>
      <c r="N64" s="99" t="n">
        <v>0.1</v>
      </c>
      <c r="O64" s="99" t="n">
        <v>0.8</v>
      </c>
      <c r="P64" s="99" t="n">
        <v>0.2</v>
      </c>
      <c r="Q64" s="99" t="n">
        <v>0.5</v>
      </c>
      <c r="R64" s="99" t="n">
        <v>1</v>
      </c>
      <c r="S64" s="99" t="n">
        <v>0.02</v>
      </c>
      <c r="T64" s="99" t="n">
        <v>0.05</v>
      </c>
      <c r="U64" s="99" t="n">
        <v>0</v>
      </c>
      <c r="V64" s="99" t="n">
        <v>0.2</v>
      </c>
    </row>
    <row r="65" ht="18" customHeight="1" s="28">
      <c r="A65" s="101" t="inlineStr">
        <is>
          <t>Full death spiral</t>
        </is>
      </c>
      <c r="B65" s="101" t="inlineStr">
        <is>
          <t>Base</t>
        </is>
      </c>
      <c r="C65" s="101" t="inlineStr">
        <is>
          <t>Full death spiral | Base</t>
        </is>
      </c>
      <c r="D65" s="92" t="inlineStr">
        <is>
          <t>Revenue falls -&gt; margin compresses -&gt; working capital drains cash -&gt; rates rise -&gt; refinancing gets expensive -&gt; liquidity is exhausted.</t>
        </is>
      </c>
      <c r="E65" s="102" t="n">
        <v>-0.2</v>
      </c>
      <c r="F65" s="103" t="n">
        <v>-400</v>
      </c>
      <c r="G65" s="102" t="n">
        <v>-0.02</v>
      </c>
      <c r="H65" s="102" t="n">
        <v>0</v>
      </c>
      <c r="I65" s="103" t="n">
        <v>20</v>
      </c>
      <c r="J65" s="103" t="n">
        <v>20</v>
      </c>
      <c r="K65" s="103" t="n">
        <v>-5</v>
      </c>
      <c r="L65" s="103" t="n">
        <v>350</v>
      </c>
      <c r="M65" s="102" t="n">
        <v>0.5</v>
      </c>
      <c r="N65" s="102" t="n">
        <v>0.15</v>
      </c>
      <c r="O65" s="102" t="n">
        <v>0.6</v>
      </c>
      <c r="P65" s="102" t="n">
        <v>0.4</v>
      </c>
      <c r="Q65" s="102" t="n">
        <v>1</v>
      </c>
      <c r="R65" s="102" t="n">
        <v>1</v>
      </c>
      <c r="S65" s="102" t="n">
        <v>0.08</v>
      </c>
      <c r="T65" s="102" t="n">
        <v>0.15</v>
      </c>
      <c r="U65" s="102" t="n">
        <v>0.03</v>
      </c>
      <c r="V65" s="102" t="n">
        <v>0.18</v>
      </c>
    </row>
    <row r="66" ht="18" customHeight="1" s="28">
      <c r="A66" s="104" t="inlineStr">
        <is>
          <t>Full death spiral</t>
        </is>
      </c>
      <c r="B66" s="104" t="inlineStr">
        <is>
          <t>Severe</t>
        </is>
      </c>
      <c r="C66" s="104" t="inlineStr">
        <is>
          <t>Full death spiral | Severe</t>
        </is>
      </c>
      <c r="D66" s="93" t="inlineStr">
        <is>
          <t>Revenue falls -&gt; margin compresses -&gt; working capital drains cash -&gt; rates rise -&gt; refinancing gets expensive -&gt; liquidity is exhausted.</t>
        </is>
      </c>
      <c r="E66" s="105" t="n">
        <v>-0.3</v>
      </c>
      <c r="F66" s="106" t="n">
        <v>-600</v>
      </c>
      <c r="G66" s="105" t="n">
        <v>-0.03</v>
      </c>
      <c r="H66" s="105" t="n">
        <v>0</v>
      </c>
      <c r="I66" s="106" t="n">
        <v>30</v>
      </c>
      <c r="J66" s="106" t="n">
        <v>30</v>
      </c>
      <c r="K66" s="106" t="n">
        <v>-8</v>
      </c>
      <c r="L66" s="106" t="n">
        <v>500</v>
      </c>
      <c r="M66" s="105" t="n">
        <v>0.2</v>
      </c>
      <c r="N66" s="105" t="n">
        <v>0.2</v>
      </c>
      <c r="O66" s="105" t="n">
        <v>0.3</v>
      </c>
      <c r="P66" s="105" t="n">
        <v>0.5</v>
      </c>
      <c r="Q66" s="105" t="n">
        <v>1</v>
      </c>
      <c r="R66" s="105" t="n">
        <v>1</v>
      </c>
      <c r="S66" s="105" t="n">
        <v>0.15</v>
      </c>
      <c r="T66" s="105" t="n">
        <v>0.25</v>
      </c>
      <c r="U66" s="105" t="n">
        <v>0.05</v>
      </c>
      <c r="V66" s="105" t="n">
        <v>0.15</v>
      </c>
    </row>
    <row r="70">
      <c r="A70" t="inlineStr">
        <is>
          <t>Custom / Blank</t>
        </is>
      </c>
    </row>
    <row r="71">
      <c r="A71" t="inlineStr">
        <is>
          <t>Demand collapse (classic recession)</t>
        </is>
      </c>
    </row>
    <row r="72">
      <c r="A72" t="inlineStr">
        <is>
          <t>Mild demand shock + operating leverage</t>
        </is>
      </c>
    </row>
    <row r="73">
      <c r="A73" t="inlineStr">
        <is>
          <t>Price pressure + volume decline</t>
        </is>
      </c>
    </row>
    <row r="74">
      <c r="A74" t="inlineStr">
        <is>
          <t>Customer concentration risk</t>
        </is>
      </c>
    </row>
    <row r="75">
      <c r="A75" t="inlineStr">
        <is>
          <t>Input cost inflation shock</t>
        </is>
      </c>
    </row>
    <row r="76">
      <c r="A76" t="inlineStr">
        <is>
          <t>Wage inflation + sticky pricing</t>
        </is>
      </c>
    </row>
    <row r="77">
      <c r="A77" t="inlineStr">
        <is>
          <t>Working capital trap</t>
        </is>
      </c>
    </row>
    <row r="78">
      <c r="A78" t="inlineStr">
        <is>
          <t>Inventory overbuild + demand slowdown</t>
        </is>
      </c>
    </row>
    <row r="79">
      <c r="A79" t="inlineStr">
        <is>
          <t>Capex overrun + weak returns</t>
        </is>
      </c>
    </row>
    <row r="80">
      <c r="A80" t="inlineStr">
        <is>
          <t>Refinancing shock</t>
        </is>
      </c>
    </row>
    <row r="81">
      <c r="A81" t="inlineStr">
        <is>
          <t>Rising rates + high leverage</t>
        </is>
      </c>
    </row>
    <row r="82">
      <c r="A82" t="inlineStr">
        <is>
          <t>FX shock (import-heavy company)</t>
        </is>
      </c>
    </row>
    <row r="83">
      <c r="A83" t="inlineStr">
        <is>
          <t>FX shock (export-heavy company)</t>
        </is>
      </c>
    </row>
    <row r="84">
      <c r="A84" t="inlineStr">
        <is>
          <t>Regulatory shock</t>
        </is>
      </c>
    </row>
    <row r="85">
      <c r="A85" t="inlineStr">
        <is>
          <t>Litigation / fine event</t>
        </is>
      </c>
    </row>
    <row r="86">
      <c r="A86" t="inlineStr">
        <is>
          <t>Operational disruption</t>
        </is>
      </c>
    </row>
    <row r="87">
      <c r="A87" t="inlineStr">
        <is>
          <t>Supplier failure</t>
        </is>
      </c>
    </row>
    <row r="88">
      <c r="A88" t="inlineStr">
        <is>
          <t>Technology disruption</t>
        </is>
      </c>
    </row>
    <row r="89">
      <c r="A89" t="inlineStr">
        <is>
          <t>Acquisition gone wrong</t>
        </is>
      </c>
    </row>
    <row r="90">
      <c r="A90" t="inlineStr">
        <is>
          <t>Full death spiral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2A4A"/>
    <outlinePr summaryBelow="1" summaryRight="1"/>
    <pageSetUpPr/>
  </sheetPr>
  <dimension ref="A1:E34"/>
  <sheetViews>
    <sheetView showGridLines="0" workbookViewId="0">
      <pane ySplit="15" topLeftCell="A16" activePane="bottomLeft" state="frozen"/>
      <selection pane="bottomLeft" activeCell="A1" sqref="A1:E1"/>
    </sheetView>
  </sheetViews>
  <sheetFormatPr baseColWidth="10" defaultColWidth="8.83203125" defaultRowHeight="15"/>
  <cols>
    <col width="32" customWidth="1" style="28" min="1" max="1"/>
    <col width="36" customWidth="1" style="28" min="2" max="2"/>
    <col width="36" customWidth="1" style="28" min="3" max="5"/>
    <col width="20" customWidth="1" style="28" min="4" max="4"/>
    <col width="18" customWidth="1" style="28" min="5" max="5"/>
  </cols>
  <sheetData>
    <row r="1" ht="30" customHeight="1" s="28">
      <c r="A1" s="74" t="inlineStr">
        <is>
          <t>SCENARIO SETUP  —  Select Sequence, Severity &amp; Override Parameters</t>
        </is>
      </c>
      <c r="B1" s="32" t="n"/>
      <c r="C1" s="32" t="n"/>
      <c r="D1" s="32" t="n"/>
      <c r="E1" s="33" t="n"/>
    </row>
    <row r="2" ht="18" customHeight="1" s="28">
      <c r="A2" s="87" t="inlineStr">
        <is>
          <t>Select a sequence and severity, then override any assumption in column D if you want a custom version.</t>
        </is>
      </c>
      <c r="B2" s="32" t="n"/>
      <c r="C2" s="32" t="n"/>
      <c r="D2" s="32" t="n"/>
      <c r="E2" s="33" t="n"/>
    </row>
    <row r="3" ht="22" customHeight="1" s="28">
      <c r="A3" s="76" t="inlineStr">
        <is>
          <t>ACTIVE SEQUENCE  ↓ select below</t>
        </is>
      </c>
      <c r="B3" s="107" t="inlineStr">
        <is>
          <t>Demand collapse (classic recession)</t>
        </is>
      </c>
      <c r="C3" s="202" t="n"/>
      <c r="D3" s="202" t="n"/>
      <c r="E3" s="66" t="n"/>
    </row>
    <row r="4" ht="22" customHeight="1" s="28">
      <c r="A4" s="108" t="inlineStr">
        <is>
          <t>SEVERITY  ↓ select below</t>
        </is>
      </c>
      <c r="B4" s="109" t="inlineStr">
        <is>
          <t>Base</t>
        </is>
      </c>
      <c r="C4" s="202" t="n"/>
      <c r="D4" s="202" t="n"/>
      <c r="E4" s="66" t="n"/>
    </row>
    <row r="5" ht="22" customHeight="1" s="28">
      <c r="A5" s="76" t="inlineStr">
        <is>
          <t>Scenario Key (auto)</t>
        </is>
      </c>
      <c r="B5" s="82">
        <f>B3&amp;" | "&amp;B4</f>
        <v/>
      </c>
      <c r="C5" s="202" t="n"/>
      <c r="D5" s="202" t="n"/>
      <c r="E5" s="66" t="n"/>
    </row>
    <row r="6" ht="22" customHeight="1" s="28">
      <c r="A6" s="76" t="inlineStr">
        <is>
          <t>Description (auto)</t>
        </is>
      </c>
      <c r="B6" s="82">
        <f>INDEX(Scenario_Library!$D$4:$D$66,MATCH($B$5,Scenario_Library!$C$4:$C$66,0))</f>
        <v/>
      </c>
      <c r="C6" s="202" t="n"/>
      <c r="D6" s="202" t="n"/>
      <c r="E6" s="66" t="n"/>
    </row>
    <row r="7" ht="8" customHeight="1" s="28"/>
    <row r="8" ht="20" customHeight="1" s="28">
      <c r="A8" s="77" t="inlineStr">
        <is>
          <t xml:space="preserve">  COMPANY THRESHOLD SETTINGS</t>
        </is>
      </c>
      <c r="B8" s="32" t="n"/>
      <c r="C8" s="32" t="n"/>
      <c r="D8" s="32" t="n"/>
      <c r="E8" s="33" t="n"/>
    </row>
    <row r="9" ht="18" customHeight="1" s="28">
      <c r="A9" s="110" t="inlineStr">
        <is>
          <t>SG&amp;A variable cost share</t>
        </is>
      </c>
      <c r="B9" s="111" t="n">
        <v>0.4</v>
      </c>
      <c r="C9" s="112" t="inlineStr">
        <is>
          <t>Portion of SG&amp;A that flexes mechanically with revenue.</t>
        </is>
      </c>
      <c r="D9" s="202" t="n"/>
      <c r="E9" s="66" t="n"/>
    </row>
    <row r="10" ht="18" customHeight="1" s="28">
      <c r="A10" s="110" t="inlineStr">
        <is>
          <t>Fallback tax rate</t>
        </is>
      </c>
      <c r="B10" s="111">
        <f>IFERROR(Hist_Financials!D16/Hist_Financials!D15,0.25)</f>
        <v/>
      </c>
      <c r="C10" s="112" t="inlineStr">
        <is>
          <t>Reference only. The active scenario tax rate drives the stress case.</t>
        </is>
      </c>
      <c r="D10" s="202" t="n"/>
      <c r="E10" s="66" t="n"/>
    </row>
    <row r="11" ht="18" customHeight="1" s="28">
      <c r="A11" s="110" t="inlineStr">
        <is>
          <t>Minimum cash buffer</t>
        </is>
      </c>
      <c r="B11" s="113" t="n">
        <v>0</v>
      </c>
      <c r="C11" s="112" t="inlineStr">
        <is>
          <t>Hard minimum cash level. Set this to covenant cash or your comfort floor.</t>
        </is>
      </c>
      <c r="D11" s="202" t="n"/>
      <c r="E11" s="66" t="n"/>
    </row>
    <row r="12" ht="18" customHeight="1" s="28">
      <c r="A12" s="110" t="inlineStr">
        <is>
          <t>Minimum EBIT / interest</t>
        </is>
      </c>
      <c r="B12" s="114" t="n">
        <v>1.5</v>
      </c>
      <c r="C12" s="112" t="inlineStr">
        <is>
          <t>Coverage threshold used for the distress flag.</t>
        </is>
      </c>
      <c r="D12" s="202" t="n"/>
      <c r="E12" s="66" t="n"/>
    </row>
    <row r="13" ht="18" customHeight="1" s="28">
      <c r="A13" s="110" t="inlineStr">
        <is>
          <t>Maximum net debt / EBITDA</t>
        </is>
      </c>
      <c r="B13" s="114" t="n">
        <v>4</v>
      </c>
      <c r="C13" s="112" t="inlineStr">
        <is>
          <t>Leverage threshold used for the distress flag.</t>
        </is>
      </c>
      <c r="D13" s="202" t="n"/>
      <c r="E13" s="66" t="n"/>
    </row>
    <row r="14" ht="18" customHeight="1" s="28">
      <c r="A14" s="110" t="inlineStr">
        <is>
          <t>Minimum current ratio</t>
        </is>
      </c>
      <c r="B14" s="114" t="n">
        <v>1</v>
      </c>
      <c r="C14" s="112" t="inlineStr">
        <is>
          <t>Liquidity threshold used for the distress flag.</t>
        </is>
      </c>
      <c r="D14" s="202" t="n"/>
      <c r="E14" s="66" t="n"/>
    </row>
    <row r="15" ht="8" customHeight="1" s="28"/>
    <row r="16" ht="22" customHeight="1" s="28">
      <c r="A16" s="161" t="inlineStr">
        <is>
          <t>Parameter</t>
        </is>
      </c>
      <c r="B16" s="161" t="inlineStr">
        <is>
          <t>Unit</t>
        </is>
      </c>
      <c r="C16" s="161" t="inlineStr">
        <is>
          <t>Library Value</t>
        </is>
      </c>
      <c r="D16" s="115" t="inlineStr">
        <is>
          <t>User Override</t>
        </is>
      </c>
      <c r="E16" s="161" t="inlineStr">
        <is>
          <t>✓ Final Used</t>
        </is>
      </c>
    </row>
    <row r="17" ht="18" customHeight="1" s="28">
      <c r="A17" s="116" t="inlineStr">
        <is>
          <t>Revenue shock %</t>
        </is>
      </c>
      <c r="B17" s="117" t="inlineStr">
        <is>
          <t>%</t>
        </is>
      </c>
      <c r="C17" s="118">
        <f>INDEX(Scenario_Library!$E$4:$E$66,MATCH($B$5,Scenario_Library!$C$4:$C$66,0))</f>
        <v/>
      </c>
      <c r="D17" s="111" t="n"/>
      <c r="E17" s="119">
        <f>IF(D17="",C17,D17)</f>
        <v/>
      </c>
    </row>
    <row r="18" ht="18" customHeight="1" s="28">
      <c r="A18" s="116" t="inlineStr">
        <is>
          <t>Gross margin shock</t>
        </is>
      </c>
      <c r="B18" s="117" t="inlineStr">
        <is>
          <t>bps</t>
        </is>
      </c>
      <c r="C18" s="120">
        <f>INDEX(Scenario_Library!$F$4:$F$66,MATCH($B$5,Scenario_Library!$C$4:$C$66,0))</f>
        <v/>
      </c>
      <c r="D18" s="121" t="n"/>
      <c r="E18" s="122">
        <f>IF(D18="",C18,D18)</f>
        <v/>
      </c>
    </row>
    <row r="19" ht="18" customHeight="1" s="28">
      <c r="A19" s="123" t="inlineStr">
        <is>
          <t>SG&amp;A management action %</t>
        </is>
      </c>
      <c r="B19" s="117" t="inlineStr">
        <is>
          <t>%</t>
        </is>
      </c>
      <c r="C19" s="118">
        <f>INDEX(Scenario_Library!$G$4:$G$66,MATCH($B$5,Scenario_Library!$C$4:$C$66,0))</f>
        <v/>
      </c>
      <c r="D19" s="111" t="n"/>
      <c r="E19" s="119">
        <f>IF(D19="",C19,D19)</f>
        <v/>
      </c>
    </row>
    <row r="20" ht="18" customHeight="1" s="28">
      <c r="A20" s="123" t="inlineStr">
        <is>
          <t>Other OpEx shock %</t>
        </is>
      </c>
      <c r="B20" s="117" t="inlineStr">
        <is>
          <t>%</t>
        </is>
      </c>
      <c r="C20" s="118">
        <f>INDEX(Scenario_Library!$H$4:$H$66,MATCH($B$5,Scenario_Library!$C$4:$C$66,0))</f>
        <v/>
      </c>
      <c r="D20" s="111" t="n"/>
      <c r="E20" s="119">
        <f>IF(D20="",C20,D20)</f>
        <v/>
      </c>
    </row>
    <row r="21" ht="18" customHeight="1" s="28">
      <c r="A21" s="116" t="inlineStr">
        <is>
          <t>DSO change</t>
        </is>
      </c>
      <c r="B21" s="117" t="inlineStr">
        <is>
          <t>days</t>
        </is>
      </c>
      <c r="C21" s="124">
        <f>INDEX(Scenario_Library!$I$4:$I$66,MATCH($B$5,Scenario_Library!$C$4:$C$66,0))</f>
        <v/>
      </c>
      <c r="D21" s="125" t="n"/>
      <c r="E21" s="126">
        <f>IF(D21="",C21,D21)</f>
        <v/>
      </c>
    </row>
    <row r="22" ht="18" customHeight="1" s="28">
      <c r="A22" s="116" t="inlineStr">
        <is>
          <t>DIO change</t>
        </is>
      </c>
      <c r="B22" s="117" t="inlineStr">
        <is>
          <t>days</t>
        </is>
      </c>
      <c r="C22" s="124">
        <f>INDEX(Scenario_Library!$J$4:$J$66,MATCH($B$5,Scenario_Library!$C$4:$C$66,0))</f>
        <v/>
      </c>
      <c r="D22" s="125" t="n"/>
      <c r="E22" s="126">
        <f>IF(D22="",C22,D22)</f>
        <v/>
      </c>
    </row>
    <row r="23" ht="18" customHeight="1" s="28">
      <c r="A23" s="116" t="inlineStr">
        <is>
          <t>DPO change</t>
        </is>
      </c>
      <c r="B23" s="117" t="inlineStr">
        <is>
          <t>days</t>
        </is>
      </c>
      <c r="C23" s="124">
        <f>INDEX(Scenario_Library!$K$4:$K$66,MATCH($B$5,Scenario_Library!$C$4:$C$66,0))</f>
        <v/>
      </c>
      <c r="D23" s="125" t="n"/>
      <c r="E23" s="126">
        <f>IF(D23="",C23,D23)</f>
        <v/>
      </c>
    </row>
    <row r="24" ht="18" customHeight="1" s="28">
      <c r="A24" s="116" t="inlineStr">
        <is>
          <t>Interest rate shock</t>
        </is>
      </c>
      <c r="B24" s="117" t="inlineStr">
        <is>
          <t>bps</t>
        </is>
      </c>
      <c r="C24" s="120">
        <f>INDEX(Scenario_Library!$L$4:$L$66,MATCH($B$5,Scenario_Library!$C$4:$C$66,0))</f>
        <v/>
      </c>
      <c r="D24" s="121" t="n"/>
      <c r="E24" s="122">
        <f>IF(D24="",C24,D24)</f>
        <v/>
      </c>
    </row>
    <row r="25" ht="18" customHeight="1" s="28">
      <c r="A25" s="123" t="inlineStr">
        <is>
          <t>Short-term debt rollover %</t>
        </is>
      </c>
      <c r="B25" s="117" t="inlineStr">
        <is>
          <t>%</t>
        </is>
      </c>
      <c r="C25" s="118">
        <f>INDEX(Scenario_Library!$M$4:$M$66,MATCH($B$5,Scenario_Library!$C$4:$C$66,0))</f>
        <v/>
      </c>
      <c r="D25" s="111" t="n"/>
      <c r="E25" s="119">
        <f>IF(D25="",C25,D25)</f>
        <v/>
      </c>
    </row>
    <row r="26" ht="18" customHeight="1" s="28">
      <c r="A26" s="123" t="inlineStr">
        <is>
          <t>Long-term debt due %</t>
        </is>
      </c>
      <c r="B26" s="117" t="inlineStr">
        <is>
          <t>%</t>
        </is>
      </c>
      <c r="C26" s="118">
        <f>INDEX(Scenario_Library!$N$4:$N$66,MATCH($B$5,Scenario_Library!$C$4:$C$66,0))</f>
        <v/>
      </c>
      <c r="D26" s="111" t="n"/>
      <c r="E26" s="119">
        <f>IF(D26="",C26,D26)</f>
        <v/>
      </c>
    </row>
    <row r="27" ht="18" customHeight="1" s="28">
      <c r="A27" s="123" t="inlineStr">
        <is>
          <t>Long-term debt rollover %</t>
        </is>
      </c>
      <c r="B27" s="117" t="inlineStr">
        <is>
          <t>%</t>
        </is>
      </c>
      <c r="C27" s="118">
        <f>INDEX(Scenario_Library!$O$4:$O$66,MATCH($B$5,Scenario_Library!$C$4:$C$66,0))</f>
        <v/>
      </c>
      <c r="D27" s="111" t="n"/>
      <c r="E27" s="119">
        <f>IF(D27="",C27,D27)</f>
        <v/>
      </c>
    </row>
    <row r="28" ht="18" customHeight="1" s="28">
      <c r="A28" s="123" t="inlineStr">
        <is>
          <t>Capex cut %</t>
        </is>
      </c>
      <c r="B28" s="117" t="inlineStr">
        <is>
          <t>%</t>
        </is>
      </c>
      <c r="C28" s="118">
        <f>INDEX(Scenario_Library!$P$4:$P$66,MATCH($B$5,Scenario_Library!$C$4:$C$66,0))</f>
        <v/>
      </c>
      <c r="D28" s="111" t="n"/>
      <c r="E28" s="119">
        <f>IF(D28="",C28,D28)</f>
        <v/>
      </c>
    </row>
    <row r="29" ht="18" customHeight="1" s="28">
      <c r="A29" s="123" t="inlineStr">
        <is>
          <t>Dividend cut %</t>
        </is>
      </c>
      <c r="B29" s="117" t="inlineStr">
        <is>
          <t>%</t>
        </is>
      </c>
      <c r="C29" s="118">
        <f>INDEX(Scenario_Library!$Q$4:$Q$66,MATCH($B$5,Scenario_Library!$C$4:$C$66,0))</f>
        <v/>
      </c>
      <c r="D29" s="111" t="n"/>
      <c r="E29" s="119">
        <f>IF(D29="",C29,D29)</f>
        <v/>
      </c>
    </row>
    <row r="30" ht="18" customHeight="1" s="28">
      <c r="A30" s="123" t="inlineStr">
        <is>
          <t>Buyback cut %</t>
        </is>
      </c>
      <c r="B30" s="117" t="inlineStr">
        <is>
          <t>%</t>
        </is>
      </c>
      <c r="C30" s="118">
        <f>INDEX(Scenario_Library!$R$4:$R$66,MATCH($B$5,Scenario_Library!$C$4:$C$66,0))</f>
        <v/>
      </c>
      <c r="D30" s="111" t="n"/>
      <c r="E30" s="119">
        <f>IF(D30="",C30,D30)</f>
        <v/>
      </c>
    </row>
    <row r="31" ht="18" customHeight="1" s="28">
      <c r="A31" s="123" t="inlineStr">
        <is>
          <t>PP&amp;E impairment %</t>
        </is>
      </c>
      <c r="B31" s="117" t="inlineStr">
        <is>
          <t>%</t>
        </is>
      </c>
      <c r="C31" s="118">
        <f>INDEX(Scenario_Library!$S$4:$S$66,MATCH($B$5,Scenario_Library!$C$4:$C$66,0))</f>
        <v/>
      </c>
      <c r="D31" s="111" t="n"/>
      <c r="E31" s="119">
        <f>IF(D31="",C31,D31)</f>
        <v/>
      </c>
    </row>
    <row r="32" ht="18" customHeight="1" s="28">
      <c r="A32" s="123" t="inlineStr">
        <is>
          <t>Intangible impairment %</t>
        </is>
      </c>
      <c r="B32" s="117" t="inlineStr">
        <is>
          <t>%</t>
        </is>
      </c>
      <c r="C32" s="118">
        <f>INDEX(Scenario_Library!$T$4:$T$66,MATCH($B$5,Scenario_Library!$C$4:$C$66,0))</f>
        <v/>
      </c>
      <c r="D32" s="111" t="n"/>
      <c r="E32" s="119">
        <f>IF(D32="",C32,D32)</f>
        <v/>
      </c>
    </row>
    <row r="33" ht="18" customHeight="1" s="28">
      <c r="A33" s="123" t="inlineStr">
        <is>
          <t>One-off cash charge % of revenue</t>
        </is>
      </c>
      <c r="B33" s="117" t="inlineStr">
        <is>
          <t>%</t>
        </is>
      </c>
      <c r="C33" s="118">
        <f>INDEX(Scenario_Library!$U$4:$U$66,MATCH($B$5,Scenario_Library!$C$4:$C$66,0))</f>
        <v/>
      </c>
      <c r="D33" s="111" t="n"/>
      <c r="E33" s="119">
        <f>IF(D33="",C33,D33)</f>
        <v/>
      </c>
    </row>
    <row r="34" ht="18" customHeight="1" s="28">
      <c r="A34" s="123" t="inlineStr">
        <is>
          <t>Tax rate used %</t>
        </is>
      </c>
      <c r="B34" s="117" t="inlineStr">
        <is>
          <t>%</t>
        </is>
      </c>
      <c r="C34" s="118">
        <f>INDEX(Scenario_Library!$V$4:$V$66,MATCH($B$5,Scenario_Library!$C$4:$C$66,0))</f>
        <v/>
      </c>
      <c r="D34" s="111" t="n"/>
      <c r="E34" s="119">
        <f>IF(D34="",C34,D34)</f>
        <v/>
      </c>
    </row>
  </sheetData>
  <mergeCells count="18">
    <mergeCell ref="A6"/>
    <mergeCell ref="C14:E14"/>
    <mergeCell ref="C11:E11"/>
    <mergeCell ref="C13:E13"/>
    <mergeCell ref="A2:E2"/>
    <mergeCell ref="A3"/>
    <mergeCell ref="A4"/>
    <mergeCell ref="B4:E4"/>
    <mergeCell ref="B6:E6"/>
    <mergeCell ref="C8:E8"/>
    <mergeCell ref="C9:E9"/>
    <mergeCell ref="A1:E1"/>
    <mergeCell ref="B3:E3"/>
    <mergeCell ref="B5:E5"/>
    <mergeCell ref="A8:E8"/>
    <mergeCell ref="C12:E12"/>
    <mergeCell ref="A5"/>
    <mergeCell ref="C10:E10"/>
  </mergeCells>
  <dataValidations count="3">
    <dataValidation sqref="B4" showDropDown="0" showInputMessage="1" showErrorMessage="1" allowBlank="0" type="list">
      <formula1>"Light,Base,Severe"</formula1>
    </dataValidation>
    <dataValidation sqref="B3" showDropDown="0" showInputMessage="0" showErrorMessage="0" allowBlank="0" promptTitle="Scenario Selection" prompt="Select a stress scenario from the list" type="list">
      <formula1>Scenario_Library!$A$70:$A$90</formula1>
    </dataValidation>
    <dataValidation sqref="B4" showDropDown="0" showInputMessage="0" showErrorMessage="0" allowBlank="0" promptTitle="Severity" prompt="Select stress severity" type="list">
      <formula1>"Light,Base,Severe"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2A4A"/>
    <outlinePr summaryBelow="1" summaryRight="1"/>
    <pageSetUpPr/>
  </sheetPr>
  <dimension ref="A1:D50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D1"/>
    </sheetView>
  </sheetViews>
  <sheetFormatPr baseColWidth="10" defaultColWidth="8.83203125" defaultRowHeight="15"/>
  <cols>
    <col width="32" customWidth="1" style="28" min="1" max="1"/>
    <col width="18" customWidth="1" style="28" min="2" max="4"/>
    <col width="18" customWidth="1" style="28" min="3" max="3"/>
    <col width="16" customWidth="1" style="28" min="4" max="4"/>
  </cols>
  <sheetData>
    <row r="1" ht="30" customHeight="1" s="28">
      <c r="A1" s="74" t="inlineStr">
        <is>
          <t>STRESS MODEL  —  Base vs Stressed Financials</t>
        </is>
      </c>
      <c r="B1" s="32" t="n"/>
      <c r="C1" s="32" t="n"/>
      <c r="D1" s="33" t="n"/>
    </row>
    <row r="2" ht="18" customHeight="1" s="28">
      <c r="A2" s="75" t="inlineStr">
        <is>
          <t>Base case uses the latest historical year in Hist_Financials column D. Stress case applies the selected sequence and severity.</t>
        </is>
      </c>
      <c r="B2" s="32" t="n"/>
      <c r="C2" s="32" t="n"/>
      <c r="D2" s="33" t="n"/>
    </row>
    <row r="3" ht="22" customHeight="1" s="28">
      <c r="A3" s="76" t="inlineStr">
        <is>
          <t>Metric</t>
        </is>
      </c>
      <c r="B3" s="127" t="inlineStr">
        <is>
          <t>Base (Latest Year)</t>
        </is>
      </c>
      <c r="C3" s="161" t="inlineStr">
        <is>
          <t>Stressed</t>
        </is>
      </c>
      <c r="D3" s="115" t="inlineStr">
        <is>
          <t>Delta</t>
        </is>
      </c>
    </row>
    <row r="4" ht="20" customHeight="1" s="28">
      <c r="A4" s="77" t="inlineStr">
        <is>
          <t xml:space="preserve">  INCOME STATEMENT</t>
        </is>
      </c>
      <c r="B4" s="32" t="n"/>
      <c r="C4" s="32" t="n"/>
      <c r="D4" s="33" t="n"/>
    </row>
    <row r="5" ht="18" customHeight="1" s="28">
      <c r="A5" s="123" t="inlineStr">
        <is>
          <t>Income Statement</t>
        </is>
      </c>
      <c r="B5" s="202" t="n"/>
      <c r="C5" s="202" t="n"/>
      <c r="D5" s="66" t="n"/>
    </row>
    <row r="6" ht="18" customHeight="1" s="28">
      <c r="A6" s="123" t="inlineStr">
        <is>
          <t>Revenue</t>
        </is>
      </c>
      <c r="B6" s="130">
        <f>Hist_Financials!D6</f>
        <v/>
      </c>
      <c r="C6" s="130">
        <f>B6*(1+Scenario_Setup!E17)</f>
        <v/>
      </c>
      <c r="D6" s="131">
        <f>C6-B6</f>
        <v/>
      </c>
    </row>
    <row r="7" ht="18" customHeight="1" s="28">
      <c r="A7" s="123" t="inlineStr">
        <is>
          <t>Gross margin %</t>
        </is>
      </c>
      <c r="B7" s="54">
        <f>IFERROR((Hist_Financials!D6-Hist_Financials!D7)/Hist_Financials!D6,0)</f>
        <v/>
      </c>
      <c r="C7" s="54">
        <f>MAX(-50%,MIN(90%,B7+Scenario_Setup!E18/10000))</f>
        <v/>
      </c>
      <c r="D7" s="132">
        <f>C7-B7</f>
        <v/>
      </c>
    </row>
    <row r="8" ht="18" customHeight="1" s="28">
      <c r="A8" s="123" t="inlineStr">
        <is>
          <t>Gross profit</t>
        </is>
      </c>
      <c r="B8" s="130">
        <f>Hist_Financials!D8</f>
        <v/>
      </c>
      <c r="C8" s="130">
        <f>C6*C7</f>
        <v/>
      </c>
      <c r="D8" s="131">
        <f>C8-B8</f>
        <v/>
      </c>
    </row>
    <row r="9" ht="18" customHeight="1" s="28">
      <c r="A9" s="123" t="inlineStr">
        <is>
          <t>SG&amp;A</t>
        </is>
      </c>
      <c r="B9" s="130">
        <f>Hist_Financials!D9</f>
        <v/>
      </c>
      <c r="C9" s="130">
        <f>MAX(0,B9*(1+Scenario_Setup!$B$9*Scenario_Setup!E17+Scenario_Setup!E19))</f>
        <v/>
      </c>
      <c r="D9" s="131">
        <f>C9-B9</f>
        <v/>
      </c>
    </row>
    <row r="10" ht="18" customHeight="1" s="28">
      <c r="A10" s="123" t="inlineStr">
        <is>
          <t>Other OpEx</t>
        </is>
      </c>
      <c r="B10" s="130">
        <f>Hist_Financials!D10</f>
        <v/>
      </c>
      <c r="C10" s="130">
        <f>MAX(0,B10*(1+Scenario_Setup!E20))</f>
        <v/>
      </c>
      <c r="D10" s="131">
        <f>C10-B10</f>
        <v/>
      </c>
    </row>
    <row r="11" ht="18" customHeight="1" s="28">
      <c r="A11" s="49" t="inlineStr">
        <is>
          <t>EBITDA</t>
        </is>
      </c>
      <c r="B11" s="81">
        <f>Hist_Financials!D11</f>
        <v/>
      </c>
      <c r="C11" s="81">
        <f>C8-C9-C10</f>
        <v/>
      </c>
      <c r="D11" s="133">
        <f>C11-B11</f>
        <v/>
      </c>
    </row>
    <row r="12" ht="18" customHeight="1" s="28">
      <c r="A12" s="123" t="inlineStr">
        <is>
          <t>D&amp;A</t>
        </is>
      </c>
      <c r="B12" s="130">
        <f>Hist_Financials!D12</f>
        <v/>
      </c>
      <c r="C12" s="130">
        <f>B12</f>
        <v/>
      </c>
      <c r="D12" s="131">
        <f>C12-B12</f>
        <v/>
      </c>
    </row>
    <row r="13" ht="18" customHeight="1" s="28">
      <c r="A13" s="49" t="inlineStr">
        <is>
          <t>EBIT</t>
        </is>
      </c>
      <c r="B13" s="81">
        <f>Hist_Financials!D13</f>
        <v/>
      </c>
      <c r="C13" s="81">
        <f>C11-C12</f>
        <v/>
      </c>
      <c r="D13" s="133">
        <f>C13-B13</f>
        <v/>
      </c>
    </row>
    <row r="14" ht="18" customHeight="1" s="28">
      <c r="A14" s="123" t="inlineStr">
        <is>
          <t>Interest rate %</t>
        </is>
      </c>
      <c r="B14" s="54">
        <f>IFERROR(Hist_Financials!D14/(Hist_Financials!D27+Hist_Financials!D30),0)</f>
        <v/>
      </c>
      <c r="C14" s="54">
        <f>MAX(0,B14+Scenario_Setup!E24/10000)</f>
        <v/>
      </c>
      <c r="D14" s="132">
        <f>C14-B14</f>
        <v/>
      </c>
    </row>
    <row r="15" ht="18" customHeight="1" s="28">
      <c r="A15" s="123" t="inlineStr">
        <is>
          <t>Interest expense</t>
        </is>
      </c>
      <c r="B15" s="130">
        <f>Hist_Financials!D14</f>
        <v/>
      </c>
      <c r="C15" s="130">
        <f>C14*((B43+C43)/2)</f>
        <v/>
      </c>
      <c r="D15" s="131">
        <f>C15-B15</f>
        <v/>
      </c>
    </row>
    <row r="16" ht="18" customHeight="1" s="28">
      <c r="A16" s="123" t="inlineStr">
        <is>
          <t>PP&amp;E impairment</t>
        </is>
      </c>
      <c r="B16" s="130">
        <f>0</f>
        <v/>
      </c>
      <c r="C16" s="130">
        <f>Hist_Financials!D24*Scenario_Setup!E31</f>
        <v/>
      </c>
      <c r="D16" s="131">
        <f>C16-B16</f>
        <v/>
      </c>
    </row>
    <row r="17" ht="18" customHeight="1" s="28">
      <c r="A17" s="123" t="inlineStr">
        <is>
          <t>Intangible impairment</t>
        </is>
      </c>
      <c r="B17" s="130">
        <f>0</f>
        <v/>
      </c>
      <c r="C17" s="130">
        <f>Hist_Financials!D25*Scenario_Setup!E32</f>
        <v/>
      </c>
      <c r="D17" s="131">
        <f>C17-B17</f>
        <v/>
      </c>
    </row>
    <row r="18" ht="18" customHeight="1" s="28">
      <c r="A18" s="123" t="inlineStr">
        <is>
          <t>One-off cash charge</t>
        </is>
      </c>
      <c r="B18" s="130">
        <f>0</f>
        <v/>
      </c>
      <c r="C18" s="130">
        <f>Hist_Financials!D6*Scenario_Setup!E33</f>
        <v/>
      </c>
      <c r="D18" s="131">
        <f>C18-B18</f>
        <v/>
      </c>
    </row>
    <row r="19" ht="18" customHeight="1" s="28">
      <c r="A19" s="49" t="inlineStr">
        <is>
          <t>Pretax income</t>
        </is>
      </c>
      <c r="B19" s="81">
        <f>Hist_Financials!D15</f>
        <v/>
      </c>
      <c r="C19" s="81">
        <f>C13-C15-C16-C17-C18</f>
        <v/>
      </c>
      <c r="D19" s="133">
        <f>C19-B19</f>
        <v/>
      </c>
    </row>
    <row r="20" ht="18" customHeight="1" s="28">
      <c r="A20" s="123" t="inlineStr">
        <is>
          <t>Taxes</t>
        </is>
      </c>
      <c r="B20" s="130">
        <f>Hist_Financials!D16</f>
        <v/>
      </c>
      <c r="C20" s="130">
        <f>MAX(0,C19)*Scenario_Setup!E34</f>
        <v/>
      </c>
      <c r="D20" s="131">
        <f>C20-B20</f>
        <v/>
      </c>
    </row>
    <row r="21" ht="18" customHeight="1" s="28">
      <c r="A21" s="49" t="inlineStr">
        <is>
          <t>Net income</t>
        </is>
      </c>
      <c r="B21" s="81">
        <f>Hist_Financials!D17</f>
        <v/>
      </c>
      <c r="C21" s="81">
        <f>C19-C20</f>
        <v/>
      </c>
      <c r="D21" s="133">
        <f>C21-B21</f>
        <v/>
      </c>
    </row>
    <row r="22" ht="20" customHeight="1" s="28">
      <c r="A22" s="77" t="inlineStr">
        <is>
          <t xml:space="preserve">  WORKING CAPITAL</t>
        </is>
      </c>
      <c r="B22" s="32" t="n"/>
      <c r="C22" s="32" t="n"/>
      <c r="D22" s="33" t="n"/>
    </row>
    <row r="23" ht="18" customHeight="1" s="28">
      <c r="A23" s="123" t="inlineStr">
        <is>
          <t>DSO</t>
        </is>
      </c>
      <c r="B23" s="134">
        <f>IFERROR(Hist_Financials!D21/Hist_Financials!D6*365,0)</f>
        <v/>
      </c>
      <c r="C23" s="134">
        <f>MAX(0,B23+Scenario_Setup!E21)</f>
        <v/>
      </c>
      <c r="D23" s="135">
        <f>C23-B23</f>
        <v/>
      </c>
    </row>
    <row r="24" ht="18" customHeight="1" s="28">
      <c r="A24" s="123" t="inlineStr">
        <is>
          <t>DIO</t>
        </is>
      </c>
      <c r="B24" s="134">
        <f>IFERROR(Hist_Financials!D22/Hist_Financials!D7*365,0)</f>
        <v/>
      </c>
      <c r="C24" s="134">
        <f>MAX(0,B24+Scenario_Setup!E22)</f>
        <v/>
      </c>
      <c r="D24" s="135">
        <f>C24-B24</f>
        <v/>
      </c>
    </row>
    <row r="25" ht="18" customHeight="1" s="28">
      <c r="A25" s="123" t="inlineStr">
        <is>
          <t>DPO</t>
        </is>
      </c>
      <c r="B25" s="134">
        <f>IFERROR(Hist_Financials!D28/Hist_Financials!D7*365,0)</f>
        <v/>
      </c>
      <c r="C25" s="134">
        <f>MAX(0,B25+Scenario_Setup!E23)</f>
        <v/>
      </c>
      <c r="D25" s="135">
        <f>C25-B25</f>
        <v/>
      </c>
    </row>
    <row r="26" ht="18" customHeight="1" s="28">
      <c r="A26" s="123" t="inlineStr">
        <is>
          <t>Accounts receivable</t>
        </is>
      </c>
      <c r="B26" s="130">
        <f>Hist_Financials!D21</f>
        <v/>
      </c>
      <c r="C26" s="130">
        <f>C6*C23/365</f>
        <v/>
      </c>
      <c r="D26" s="131">
        <f>C26-B26</f>
        <v/>
      </c>
    </row>
    <row r="27" ht="18" customHeight="1" s="28">
      <c r="A27" s="123" t="inlineStr">
        <is>
          <t>Inventory</t>
        </is>
      </c>
      <c r="B27" s="130">
        <f>Hist_Financials!D22</f>
        <v/>
      </c>
      <c r="C27" s="130">
        <f>(C6-C8)*C24/365</f>
        <v/>
      </c>
      <c r="D27" s="131">
        <f>C27-B27</f>
        <v/>
      </c>
    </row>
    <row r="28" ht="18" customHeight="1" s="28">
      <c r="A28" s="123" t="inlineStr">
        <is>
          <t>Accounts payable</t>
        </is>
      </c>
      <c r="B28" s="130">
        <f>Hist_Financials!D28</f>
        <v/>
      </c>
      <c r="C28" s="130">
        <f>(C6-C8)*C25/365</f>
        <v/>
      </c>
      <c r="D28" s="131">
        <f>C28-B28</f>
        <v/>
      </c>
    </row>
    <row r="29" ht="18" customHeight="1" s="28">
      <c r="A29" s="123" t="inlineStr">
        <is>
          <t>Other current assets</t>
        </is>
      </c>
      <c r="B29" s="130">
        <f>Hist_Financials!D23</f>
        <v/>
      </c>
      <c r="C29" s="130">
        <f>B29</f>
        <v/>
      </c>
      <c r="D29" s="131">
        <f>C29-B29</f>
        <v/>
      </c>
    </row>
    <row r="30" ht="18" customHeight="1" s="28">
      <c r="A30" s="123" t="inlineStr">
        <is>
          <t>Other current liabilities</t>
        </is>
      </c>
      <c r="B30" s="130">
        <f>Hist_Financials!D29</f>
        <v/>
      </c>
      <c r="C30" s="130">
        <f>B30</f>
        <v/>
      </c>
      <c r="D30" s="131">
        <f>C30-B30</f>
        <v/>
      </c>
    </row>
    <row r="31" ht="20" customHeight="1" s="28">
      <c r="A31" s="77" t="inlineStr">
        <is>
          <t xml:space="preserve">  CASH FLOW &amp; FINANCING</t>
        </is>
      </c>
      <c r="B31" s="32" t="n"/>
      <c r="C31" s="32" t="n"/>
      <c r="D31" s="33" t="n"/>
    </row>
    <row r="32" ht="18" customHeight="1" s="28">
      <c r="A32" s="49" t="inlineStr">
        <is>
          <t>CFO (modeled)</t>
        </is>
      </c>
      <c r="B32" s="81">
        <f>IF(Hist_Financials!D39&lt;&gt;"",Hist_Financials!D39,Hist_Financials!D17+Hist_Financials!D12)</f>
        <v/>
      </c>
      <c r="C32" s="81">
        <f>C21+C12+C16+C17-(C26-B26)-(C27-B27)+(C28-B28)</f>
        <v/>
      </c>
      <c r="D32" s="133">
        <f>C32-B32</f>
        <v/>
      </c>
    </row>
    <row r="33" ht="18" customHeight="1" s="28">
      <c r="A33" s="123" t="inlineStr">
        <is>
          <t>Capex</t>
        </is>
      </c>
      <c r="B33" s="130">
        <f>Hist_Financials!D36</f>
        <v/>
      </c>
      <c r="C33" s="130">
        <f>B33*(1-Scenario_Setup!E28)</f>
        <v/>
      </c>
      <c r="D33" s="131">
        <f>C33-B33</f>
        <v/>
      </c>
    </row>
    <row r="34" ht="18" customHeight="1" s="28">
      <c r="A34" s="123" t="inlineStr">
        <is>
          <t>Dividends</t>
        </is>
      </c>
      <c r="B34" s="130">
        <f>Hist_Financials!D37</f>
        <v/>
      </c>
      <c r="C34" s="130">
        <f>B34*(1-Scenario_Setup!E29)</f>
        <v/>
      </c>
      <c r="D34" s="131">
        <f>C34-B34</f>
        <v/>
      </c>
    </row>
    <row r="35" ht="18" customHeight="1" s="28">
      <c r="A35" s="123" t="inlineStr">
        <is>
          <t>Buybacks</t>
        </is>
      </c>
      <c r="B35" s="130">
        <f>Hist_Financials!D38</f>
        <v/>
      </c>
      <c r="C35" s="130">
        <f>B35*(1-Scenario_Setup!E30)</f>
        <v/>
      </c>
      <c r="D35" s="131">
        <f>C35-B35</f>
        <v/>
      </c>
    </row>
    <row r="36" ht="18" customHeight="1" s="28">
      <c r="A36" s="123" t="inlineStr">
        <is>
          <t>Cash before financing</t>
        </is>
      </c>
      <c r="B36" s="130">
        <f>Hist_Financials!D20</f>
        <v/>
      </c>
      <c r="C36" s="130">
        <f>Hist_Financials!D20+C32-C33-C34-C35</f>
        <v/>
      </c>
      <c r="D36" s="131">
        <f>C36-B36</f>
        <v/>
      </c>
    </row>
    <row r="37" ht="18" customHeight="1" s="28">
      <c r="A37" s="123" t="inlineStr">
        <is>
          <t>Mandatory ST debt repayment</t>
        </is>
      </c>
      <c r="B37" s="130">
        <f>0</f>
        <v/>
      </c>
      <c r="C37" s="130">
        <f>Hist_Financials!D27*(1-Scenario_Setup!E25)</f>
        <v/>
      </c>
      <c r="D37" s="131">
        <f>C37-B37</f>
        <v/>
      </c>
    </row>
    <row r="38" ht="18" customHeight="1" s="28">
      <c r="A38" s="123" t="inlineStr">
        <is>
          <t>Mandatory LT debt repayment</t>
        </is>
      </c>
      <c r="B38" s="130">
        <f>0</f>
        <v/>
      </c>
      <c r="C38" s="130">
        <f>Hist_Financials!D30*Scenario_Setup!E26*(1-Scenario_Setup!E27)</f>
        <v/>
      </c>
      <c r="D38" s="131">
        <f>C38-B38</f>
        <v/>
      </c>
    </row>
    <row r="39" ht="18" customHeight="1" s="28">
      <c r="A39" s="49" t="inlineStr">
        <is>
          <t>Ending cash</t>
        </is>
      </c>
      <c r="B39" s="81">
        <f>Hist_Financials!D20</f>
        <v/>
      </c>
      <c r="C39" s="81">
        <f>C36-C37-C38</f>
        <v/>
      </c>
      <c r="D39" s="133">
        <f>C39-B39</f>
        <v/>
      </c>
    </row>
    <row r="40" ht="18" customHeight="1" s="28">
      <c r="A40" s="123" t="inlineStr">
        <is>
          <t>Funding gap to minimum cash</t>
        </is>
      </c>
      <c r="B40" s="130">
        <f>0</f>
        <v/>
      </c>
      <c r="C40" s="130">
        <f>MAX(0,Scenario_Setup!$B$11-C39)</f>
        <v/>
      </c>
      <c r="D40" s="131">
        <f>C40-B40</f>
        <v/>
      </c>
    </row>
    <row r="41" ht="18" customHeight="1" s="28">
      <c r="A41" s="123" t="inlineStr">
        <is>
          <t>Ending ST debt</t>
        </is>
      </c>
      <c r="B41" s="130">
        <f>Hist_Financials!D27</f>
        <v/>
      </c>
      <c r="C41" s="130">
        <f>Hist_Financials!D27-C37</f>
        <v/>
      </c>
      <c r="D41" s="131">
        <f>C41-B41</f>
        <v/>
      </c>
    </row>
    <row r="42" ht="18" customHeight="1" s="28">
      <c r="A42" s="123" t="inlineStr">
        <is>
          <t>Ending LT debt</t>
        </is>
      </c>
      <c r="B42" s="130">
        <f>Hist_Financials!D30</f>
        <v/>
      </c>
      <c r="C42" s="130">
        <f>Hist_Financials!D30-C38</f>
        <v/>
      </c>
      <c r="D42" s="131">
        <f>C42-B42</f>
        <v/>
      </c>
    </row>
    <row r="43" ht="18" customHeight="1" s="28">
      <c r="A43" s="49" t="inlineStr">
        <is>
          <t>Total ending debt</t>
        </is>
      </c>
      <c r="B43" s="81">
        <f>B41+B42</f>
        <v/>
      </c>
      <c r="C43" s="81">
        <f>C41+C42</f>
        <v/>
      </c>
      <c r="D43" s="133">
        <f>C43-B43</f>
        <v/>
      </c>
    </row>
    <row r="44" ht="18" customHeight="1" s="28">
      <c r="A44" s="49" t="inlineStr">
        <is>
          <t>Ending equity</t>
        </is>
      </c>
      <c r="B44" s="81">
        <f>Hist_Financials!D32</f>
        <v/>
      </c>
      <c r="C44" s="81">
        <f>Hist_Financials!D32+C21-C34-C35</f>
        <v/>
      </c>
      <c r="D44" s="133">
        <f>C44-B44</f>
        <v/>
      </c>
    </row>
    <row r="45" ht="18" customHeight="1" s="28">
      <c r="A45" s="123" t="inlineStr">
        <is>
          <t>Ending PP&amp;E</t>
        </is>
      </c>
      <c r="B45" s="130">
        <f>Hist_Financials!D24</f>
        <v/>
      </c>
      <c r="C45" s="130">
        <f>MAX(0,Hist_Financials!D24+C33-C12-C16)</f>
        <v/>
      </c>
      <c r="D45" s="131">
        <f>C45-B45</f>
        <v/>
      </c>
    </row>
    <row r="46" ht="18" customHeight="1" s="28">
      <c r="A46" s="123" t="inlineStr">
        <is>
          <t>Ending intangibles</t>
        </is>
      </c>
      <c r="B46" s="130">
        <f>Hist_Financials!D25</f>
        <v/>
      </c>
      <c r="C46" s="130">
        <f>MAX(0,Hist_Financials!D25-C17)</f>
        <v/>
      </c>
      <c r="D46" s="131">
        <f>C46-B46</f>
        <v/>
      </c>
    </row>
    <row r="47" ht="20" customHeight="1" s="28">
      <c r="A47" s="77" t="inlineStr">
        <is>
          <t xml:space="preserve">  KEY RATIOS</t>
        </is>
      </c>
      <c r="B47" s="32" t="n"/>
      <c r="C47" s="32" t="n"/>
      <c r="D47" s="33" t="n"/>
    </row>
    <row r="48" ht="18" customHeight="1" s="28">
      <c r="A48" s="49" t="inlineStr">
        <is>
          <t>Net debt / EBITDA</t>
        </is>
      </c>
      <c r="B48" s="136">
        <f>IFERROR((B43-Hist_Financials!D20)/MAX(B11,0.01),0)</f>
        <v/>
      </c>
      <c r="C48" s="136">
        <f>IFERROR((C43-C39+C40)/MAX(C11,0.01),0)</f>
        <v/>
      </c>
      <c r="D48" s="137">
        <f>C48-B48</f>
        <v/>
      </c>
    </row>
    <row r="49" ht="18" customHeight="1" s="28">
      <c r="A49" s="49" t="inlineStr">
        <is>
          <t>EBIT / interest</t>
        </is>
      </c>
      <c r="B49" s="136">
        <f>IFERROR(B13/MAX(B15,0.01),999)</f>
        <v/>
      </c>
      <c r="C49" s="136">
        <f>IFERROR(C13/MAX(C15,0.01),999)</f>
        <v/>
      </c>
      <c r="D49" s="137">
        <f>C49-B49</f>
        <v/>
      </c>
    </row>
    <row r="50" ht="18" customHeight="1" s="28">
      <c r="A50" s="49" t="inlineStr">
        <is>
          <t>Current ratio</t>
        </is>
      </c>
      <c r="B50" s="136">
        <f>IFERROR((Hist_Financials!D20+Hist_Financials!D21+Hist_Financials!D22+Hist_Financials!D23)/(Hist_Financials!D28+Hist_Financials!D29+Hist_Financials!D27),0)</f>
        <v/>
      </c>
      <c r="C50" s="136">
        <f>IFERROR((MAX(0,C39)+C26+C27+C29)/(C28+C30+MAX(0,C41)),0)</f>
        <v/>
      </c>
      <c r="D50" s="137">
        <f>C50-B50</f>
        <v/>
      </c>
    </row>
  </sheetData>
  <mergeCells count="7">
    <mergeCell ref="A1:D1"/>
    <mergeCell ref="A5:D5"/>
    <mergeCell ref="A31:D31"/>
    <mergeCell ref="A22:D22"/>
    <mergeCell ref="A4:D4"/>
    <mergeCell ref="A2:D2"/>
    <mergeCell ref="A47:D4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G34"/>
  <sheetViews>
    <sheetView showGridLines="0" workbookViewId="0">
      <pane ySplit="6" topLeftCell="A7" activePane="bottomLeft" state="frozen"/>
      <selection pane="bottomLeft" activeCell="A1" sqref="A1:G1"/>
    </sheetView>
  </sheetViews>
  <sheetFormatPr baseColWidth="10" defaultColWidth="8.83203125" defaultRowHeight="15"/>
  <cols>
    <col width="28" customWidth="1" style="28" min="1" max="1"/>
    <col width="16" customWidth="1" style="28" min="2" max="3"/>
    <col width="16" customWidth="1" style="28" min="3" max="3"/>
    <col width="16" customWidth="1" style="28" min="4" max="4"/>
    <col width="24" customWidth="1" style="28" min="5" max="5"/>
    <col width="16" customWidth="1" style="28" min="6" max="6"/>
    <col width="16" customWidth="1" style="28" min="7" max="7"/>
  </cols>
  <sheetData>
    <row r="1" ht="30" customHeight="1" s="28">
      <c r="A1" s="69" t="inlineStr">
        <is>
          <t>🚦 STRESS TEST DASHBOARD  —  What If... Outcome Summary</t>
        </is>
      </c>
      <c r="B1" s="32" t="n"/>
      <c r="C1" s="32" t="n"/>
      <c r="D1" s="32" t="n"/>
      <c r="E1" s="32" t="n"/>
      <c r="F1" s="32" t="n"/>
      <c r="G1" s="33" t="n"/>
    </row>
    <row r="2" ht="24" customHeight="1" s="28">
      <c r="A2" s="138">
        <f>CONCAT("Sequence: ",Scenario_Setup!B3,"   |   Severity: ",Scenario_Setup!B4)</f>
        <v/>
      </c>
    </row>
    <row r="4" ht="20" customHeight="1" s="28">
      <c r="A4" s="49" t="inlineStr">
        <is>
          <t>Sequence</t>
        </is>
      </c>
      <c r="B4" s="139">
        <f>Scenario_Setup!B3</f>
        <v/>
      </c>
      <c r="C4" s="202" t="n"/>
      <c r="D4" s="202" t="n"/>
      <c r="E4" s="202" t="n"/>
      <c r="F4" s="66" t="n"/>
    </row>
    <row r="5" ht="20" customHeight="1" s="28">
      <c r="A5" s="49" t="inlineStr">
        <is>
          <t>Severity</t>
        </is>
      </c>
      <c r="B5" s="139">
        <f>Scenario_Setup!B4</f>
        <v/>
      </c>
      <c r="C5" s="202" t="n"/>
      <c r="D5" s="202" t="n"/>
      <c r="E5" s="202" t="n"/>
      <c r="F5" s="202" t="n"/>
      <c r="G5" s="66" t="n"/>
    </row>
    <row r="6" ht="20" customHeight="1" s="28">
      <c r="A6" s="49" t="inlineStr">
        <is>
          <t>Description</t>
        </is>
      </c>
      <c r="B6" s="139">
        <f>Scenario_Setup!B6</f>
        <v/>
      </c>
      <c r="C6" s="202" t="n"/>
      <c r="D6" s="202" t="n"/>
      <c r="E6" s="202" t="n"/>
      <c r="F6" s="66" t="n"/>
      <c r="G6" s="33" t="n"/>
    </row>
    <row r="7" ht="20" customHeight="1" s="28">
      <c r="A7" s="43" t="inlineStr">
        <is>
          <t xml:space="preserve">  KEY STRESS OUTCOMES</t>
        </is>
      </c>
    </row>
    <row r="8" ht="24" customHeight="1" s="28">
      <c r="A8" s="161" t="inlineStr">
        <is>
          <t>Metric</t>
        </is>
      </c>
      <c r="B8" s="127" t="inlineStr">
        <is>
          <t>Base</t>
        </is>
      </c>
      <c r="C8" s="161" t="inlineStr">
        <is>
          <t>⚠ Stressed</t>
        </is>
      </c>
      <c r="D8" s="115" t="inlineStr">
        <is>
          <t>Δ Delta</t>
        </is>
      </c>
      <c r="E8" s="161" t="inlineStr">
        <is>
          <t>Threshold</t>
        </is>
      </c>
      <c r="F8" s="161" t="inlineStr">
        <is>
          <t>Status</t>
        </is>
      </c>
    </row>
    <row r="9" ht="22" customHeight="1" s="28">
      <c r="A9" s="140" t="inlineStr">
        <is>
          <t>Revenue</t>
        </is>
      </c>
      <c r="B9" s="141">
        <f>Stress_Model!B6</f>
        <v/>
      </c>
      <c r="C9" s="141">
        <f>Stress_Model!C6</f>
        <v/>
      </c>
      <c r="D9" s="141">
        <f>C8-B8</f>
        <v/>
      </c>
      <c r="E9" s="142" t="n"/>
      <c r="F9" s="142" t="inlineStr">
        <is>
          <t>"INFO"</t>
        </is>
      </c>
    </row>
    <row r="10" ht="22" customHeight="1" s="28">
      <c r="A10" s="140" t="inlineStr">
        <is>
          <t>EBITDA</t>
        </is>
      </c>
      <c r="B10" s="141">
        <f>Stress_Model!B11</f>
        <v/>
      </c>
      <c r="C10" s="141">
        <f>Stress_Model!C11</f>
        <v/>
      </c>
      <c r="D10" s="141">
        <f>C9-B9</f>
        <v/>
      </c>
      <c r="E10" s="142" t="n"/>
      <c r="F10" s="142" t="inlineStr">
        <is>
          <t>"INFO"</t>
        </is>
      </c>
    </row>
    <row r="11" ht="22" customHeight="1" s="28">
      <c r="A11" s="140" t="inlineStr">
        <is>
          <t>Net income</t>
        </is>
      </c>
      <c r="B11" s="141">
        <f>Stress_Model!B21</f>
        <v/>
      </c>
      <c r="C11" s="141">
        <f>Stress_Model!C21</f>
        <v/>
      </c>
      <c r="D11" s="141">
        <f>C10-B10</f>
        <v/>
      </c>
      <c r="E11" s="142" t="n"/>
      <c r="F11" s="142" t="inlineStr">
        <is>
          <t>"INFO"</t>
        </is>
      </c>
    </row>
    <row r="12" ht="22" customHeight="1" s="28">
      <c r="A12" s="140" t="inlineStr">
        <is>
          <t>CFO (modeled)</t>
        </is>
      </c>
      <c r="B12" s="141">
        <f>Stress_Model!B32</f>
        <v/>
      </c>
      <c r="C12" s="141">
        <f>Stress_Model!C32</f>
        <v/>
      </c>
      <c r="D12" s="141">
        <f>C11-B11</f>
        <v/>
      </c>
      <c r="E12" s="142" t="n"/>
      <c r="F12" s="142" t="inlineStr">
        <is>
          <t>"INFO"</t>
        </is>
      </c>
    </row>
    <row r="13" ht="22" customHeight="1" s="28">
      <c r="A13" s="116" t="inlineStr">
        <is>
          <t>Ending cash</t>
        </is>
      </c>
      <c r="B13" s="143">
        <f>Stress_Model!B39</f>
        <v/>
      </c>
      <c r="C13" s="143">
        <f>Stress_Model!C39</f>
        <v/>
      </c>
      <c r="D13" s="143">
        <f>C12-B12</f>
        <v/>
      </c>
      <c r="E13" s="144" t="inlineStr">
        <is>
          <t>&gt;= Scenario_Setup!B11</t>
        </is>
      </c>
      <c r="F13" s="144">
        <f>IF(C12&gt;=Scenario_Setup!B11,"OK","FAIL")</f>
        <v/>
      </c>
    </row>
    <row r="14" ht="22" customHeight="1" s="28">
      <c r="A14" s="116" t="inlineStr">
        <is>
          <t>Funding gap</t>
        </is>
      </c>
      <c r="B14" s="143">
        <f>Stress_Model!B40</f>
        <v/>
      </c>
      <c r="C14" s="143">
        <f>Stress_Model!C40</f>
        <v/>
      </c>
      <c r="D14" s="143">
        <f>C13-B13</f>
        <v/>
      </c>
      <c r="E14" s="144">
        <f>0</f>
        <v/>
      </c>
      <c r="F14" s="144">
        <f>IF(C13=0,"OK","FAIL")</f>
        <v/>
      </c>
    </row>
    <row r="15" ht="22" customHeight="1" s="28">
      <c r="A15" s="116" t="inlineStr">
        <is>
          <t>Net debt / EBITDA</t>
        </is>
      </c>
      <c r="B15" s="145">
        <f>Stress_Model!B48</f>
        <v/>
      </c>
      <c r="C15" s="145">
        <f>Stress_Model!C48</f>
        <v/>
      </c>
      <c r="D15" s="145">
        <f>C14-B14</f>
        <v/>
      </c>
      <c r="E15" s="144" t="inlineStr">
        <is>
          <t>&lt;= Scenario_Setup!B13</t>
        </is>
      </c>
      <c r="F15" s="144">
        <f>IF(C14&lt;=Scenario_Setup!B13,"OK","FAIL")</f>
        <v/>
      </c>
    </row>
    <row r="16" ht="22" customHeight="1" s="28">
      <c r="A16" s="116" t="inlineStr">
        <is>
          <t>EBIT / interest</t>
        </is>
      </c>
      <c r="B16" s="145">
        <f>Stress_Model!B49</f>
        <v/>
      </c>
      <c r="C16" s="145">
        <f>Stress_Model!C49</f>
        <v/>
      </c>
      <c r="D16" s="145">
        <f>C15-B15</f>
        <v/>
      </c>
      <c r="E16" s="144" t="inlineStr">
        <is>
          <t>&gt;= Scenario_Setup!B12</t>
        </is>
      </c>
      <c r="F16" s="144">
        <f>IF(C15&gt;=Scenario_Setup!B12,"OK","FAIL")</f>
        <v/>
      </c>
    </row>
    <row r="17" ht="22" customHeight="1" s="28">
      <c r="A17" s="116" t="inlineStr">
        <is>
          <t>Current ratio</t>
        </is>
      </c>
      <c r="B17" s="145">
        <f>Stress_Model!B50</f>
        <v/>
      </c>
      <c r="C17" s="145">
        <f>Stress_Model!C50</f>
        <v/>
      </c>
      <c r="D17" s="145">
        <f>C16-B16</f>
        <v/>
      </c>
      <c r="E17" s="144" t="inlineStr">
        <is>
          <t>&gt;= Scenario_Setup!B14</t>
        </is>
      </c>
      <c r="F17" s="144">
        <f>IF(C16&gt;=Scenario_Setup!B14,"OK","FAIL")</f>
        <v/>
      </c>
    </row>
    <row r="18" ht="22" customHeight="1" s="28">
      <c r="A18" s="116" t="inlineStr">
        <is>
          <t>Ending equity</t>
        </is>
      </c>
      <c r="B18" s="143">
        <f>Stress_Model!B44</f>
        <v/>
      </c>
      <c r="C18" s="143">
        <f>Stress_Model!C44</f>
        <v/>
      </c>
      <c r="D18" s="143">
        <f>C17-B17</f>
        <v/>
      </c>
      <c r="E18" s="144" t="inlineStr">
        <is>
          <t>&gt; 0</t>
        </is>
      </c>
      <c r="F18" s="144">
        <f>IF(C17&gt;0,"OK","FAIL")</f>
        <v/>
      </c>
    </row>
    <row r="20"/>
    <row r="21" ht="28" customHeight="1" s="28">
      <c r="A21" s="146" t="inlineStr">
        <is>
          <t>Overall assessment</t>
        </is>
      </c>
      <c r="B21" s="203" t="n"/>
      <c r="C21" s="203" t="n"/>
      <c r="D21" s="203" t="n"/>
      <c r="E21" s="203" t="n"/>
      <c r="F21" s="201" t="n"/>
    </row>
    <row r="23" ht="20" customHeight="1" s="28">
      <c r="A23" s="77" t="inlineStr">
        <is>
          <t xml:space="preserve">  ACTIVE DRIVER INPUTS</t>
        </is>
      </c>
      <c r="B23" s="32" t="n"/>
      <c r="C23" s="32" t="n"/>
      <c r="D23" s="32" t="n"/>
      <c r="E23" s="32" t="n"/>
      <c r="F23" s="33" t="n"/>
    </row>
    <row r="24" ht="18" customHeight="1" s="28">
      <c r="A24" s="147" t="inlineStr">
        <is>
          <t>Revenue shock %</t>
        </is>
      </c>
      <c r="B24" s="148">
        <f>Scenario_Setup!E17</f>
        <v/>
      </c>
      <c r="C24" s="202" t="n"/>
      <c r="D24" s="202" t="n"/>
      <c r="E24" s="202" t="n"/>
      <c r="F24" s="66" t="n"/>
    </row>
    <row r="25" ht="18" customHeight="1" s="28">
      <c r="A25" s="147" t="inlineStr">
        <is>
          <t>Gross margin shock (bps)</t>
        </is>
      </c>
      <c r="B25" s="149">
        <f>Scenario_Setup!E18</f>
        <v/>
      </c>
      <c r="C25" s="202" t="n"/>
      <c r="D25" s="202" t="n"/>
      <c r="E25" s="202" t="n"/>
      <c r="F25" s="66" t="n"/>
    </row>
    <row r="26" ht="18" customHeight="1" s="28">
      <c r="A26" s="147" t="inlineStr">
        <is>
          <t>DSO change</t>
        </is>
      </c>
      <c r="B26" s="149">
        <f>Scenario_Setup!E21</f>
        <v/>
      </c>
      <c r="C26" s="202" t="n"/>
      <c r="D26" s="202" t="n"/>
      <c r="E26" s="202" t="n"/>
      <c r="F26" s="66" t="n"/>
    </row>
    <row r="27" ht="18" customHeight="1" s="28">
      <c r="A27" s="147" t="inlineStr">
        <is>
          <t>DIO change</t>
        </is>
      </c>
      <c r="B27" s="149">
        <f>Scenario_Setup!E22</f>
        <v/>
      </c>
      <c r="C27" s="202" t="n"/>
      <c r="D27" s="202" t="n"/>
      <c r="E27" s="202" t="n"/>
      <c r="F27" s="66" t="n"/>
    </row>
    <row r="28" ht="18" customHeight="1" s="28">
      <c r="A28" s="147" t="inlineStr">
        <is>
          <t>DPO change</t>
        </is>
      </c>
      <c r="B28" s="149">
        <f>Scenario_Setup!E23</f>
        <v/>
      </c>
      <c r="C28" s="202" t="n"/>
      <c r="D28" s="202" t="n"/>
      <c r="E28" s="202" t="n"/>
      <c r="F28" s="66" t="n"/>
    </row>
    <row r="29" ht="18" customHeight="1" s="28">
      <c r="A29" s="147" t="inlineStr">
        <is>
          <t>Interest shock (bps)</t>
        </is>
      </c>
      <c r="B29" s="149">
        <f>Scenario_Setup!E24</f>
        <v/>
      </c>
      <c r="C29" s="202" t="n"/>
      <c r="D29" s="202" t="n"/>
      <c r="E29" s="202" t="n"/>
      <c r="F29" s="66" t="n"/>
    </row>
    <row r="30" ht="18" customHeight="1" s="28">
      <c r="A30" s="147" t="inlineStr">
        <is>
          <t>ST debt rollover %</t>
        </is>
      </c>
      <c r="B30" s="148">
        <f>Scenario_Setup!E25</f>
        <v/>
      </c>
      <c r="C30" s="202" t="n"/>
      <c r="D30" s="202" t="n"/>
      <c r="E30" s="202" t="n"/>
      <c r="F30" s="66" t="n"/>
    </row>
    <row r="31" ht="18" customHeight="1" s="28">
      <c r="A31" s="147" t="inlineStr">
        <is>
          <t>LT debt due %</t>
        </is>
      </c>
      <c r="B31" s="148">
        <f>Scenario_Setup!E26</f>
        <v/>
      </c>
      <c r="C31" s="202" t="n"/>
      <c r="D31" s="202" t="n"/>
      <c r="E31" s="202" t="n"/>
      <c r="F31" s="66" t="n"/>
    </row>
    <row r="32" ht="18" customHeight="1" s="28">
      <c r="A32" s="147" t="inlineStr">
        <is>
          <t>LT debt rollover %</t>
        </is>
      </c>
      <c r="B32" s="148">
        <f>Scenario_Setup!E27</f>
        <v/>
      </c>
      <c r="C32" s="202" t="n"/>
      <c r="D32" s="202" t="n"/>
      <c r="E32" s="202" t="n"/>
      <c r="F32" s="66" t="n"/>
    </row>
    <row r="33" ht="18" customHeight="1" s="28">
      <c r="A33" s="147" t="inlineStr">
        <is>
          <t>Capex cut %</t>
        </is>
      </c>
      <c r="B33" s="148">
        <f>Scenario_Setup!E28</f>
        <v/>
      </c>
      <c r="C33" s="202" t="n"/>
      <c r="D33" s="202" t="n"/>
      <c r="E33" s="202" t="n"/>
      <c r="F33" s="66" t="n"/>
    </row>
    <row r="34" ht="18" customHeight="1" s="28">
      <c r="A34" s="147" t="inlineStr">
        <is>
          <t>One-off cash charge % rev</t>
        </is>
      </c>
      <c r="B34" s="148">
        <f>Scenario_Setup!E33</f>
        <v/>
      </c>
      <c r="C34" s="202" t="n"/>
      <c r="D34" s="202" t="n"/>
      <c r="E34" s="202" t="n"/>
      <c r="F34" s="66" t="n"/>
    </row>
  </sheetData>
  <mergeCells count="20">
    <mergeCell ref="B4:F4"/>
    <mergeCell ref="B25:F25"/>
    <mergeCell ref="B31:F31"/>
    <mergeCell ref="A21:F21"/>
    <mergeCell ref="B27:F27"/>
    <mergeCell ref="A2:F2"/>
    <mergeCell ref="A23:F23"/>
    <mergeCell ref="B20:D20"/>
    <mergeCell ref="B29:F29"/>
    <mergeCell ref="A1:G1"/>
    <mergeCell ref="B5:G5"/>
    <mergeCell ref="B34:F34"/>
    <mergeCell ref="B28:F28"/>
    <mergeCell ref="B30:F30"/>
    <mergeCell ref="B6:F6"/>
    <mergeCell ref="B24:F24"/>
    <mergeCell ref="B33:F33"/>
    <mergeCell ref="B32:F32"/>
    <mergeCell ref="B26:F26"/>
    <mergeCell ref="A7:F7"/>
  </mergeCells>
  <conditionalFormatting sqref="F8:F17">
    <cfRule type="cellIs" priority="1" operator="equal" dxfId="2">
      <formula>"OK"</formula>
    </cfRule>
    <cfRule type="cellIs" priority="2" operator="equal" dxfId="1">
      <formula>"FAIL"</formula>
    </cfRule>
    <cfRule type="cellIs" priority="3" operator="equal" dxfId="0">
      <formula>"INFO"</formula>
    </cfRule>
  </conditionalFormatting>
  <conditionalFormatting sqref="F9:F23">
    <cfRule type="cellIs" priority="4" operator="equal" dxfId="5">
      <formula>"OK"</formula>
    </cfRule>
    <cfRule type="cellIs" priority="5" operator="equal" dxfId="6">
      <formula>"FAIL"</formula>
    </cfRule>
  </conditionalFormatting>
  <conditionalFormatting sqref="D9:D23">
    <cfRule type="cellIs" priority="6" operator="lessThan" dxfId="3">
      <formula>0</formula>
    </cfRule>
    <cfRule type="cellIs" priority="7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2026-04-07T23:04:03Z</dcterms:created>
  <dcterms:modified xmlns:dcterms="http://purl.org/dc/terms/" xmlns:xsi="http://www.w3.org/2001/XMLSchema-instance" xsi:type="dcterms:W3CDTF">2026-04-08T13:59:36Z</dcterms:modified>
  <cp:lastModifiedBy>Igor Shestopalov</cp:lastModifiedBy>
</cp:coreProperties>
</file>